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untry Validation" sheetId="2" state="visible" r:id="rId4"/>
    <sheet name="G2N Validation" sheetId="3" state="visible" r:id="rId5"/>
    <sheet name="Cascade Hotspots" sheetId="4" state="visible" r:id="rId6"/>
    <sheet name="Reform Tracker 2024-2026" sheetId="5" state="visible" r:id="rId7"/>
    <sheet name="Sources Bibliography" sheetId="6" state="visible" r:id="rId8"/>
    <sheet name="Change Log" sheetId="7" state="visible" r:id="rId9"/>
  </sheets>
  <definedNames>
    <definedName function="false" hidden="true" localSheetId="1" name="_xlnm._FilterDatabase" vbProcedure="false">'Country Validation'!$A$4:$R$46</definedName>
    <definedName function="false" hidden="true" localSheetId="2" name="_xlnm._FilterDatabase" vbProcedure="false">'G2N Validation'!$A$4:$O$46</definedName>
    <definedName function="false" hidden="true" localSheetId="4" name="_xlnm._FilterDatabase" vbProcedure="false">'Reform Tracker 2024-2026'!$A$4:$G$29</definedName>
    <definedName function="false" hidden="true" localSheetId="5" name="_xlnm._FilterDatabase" vbProcedure="false">'Sources Bibliography'!$A$4:$E$41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<sst xmlns="http://schemas.openxmlformats.org/spreadsheetml/2006/main" count="1323" uniqueCount="855">
  <si>
    <t xml:space="preserve">PHARMA PRICING INTELLIGENCE</t>
  </si>
  <si>
    <t xml:space="preserve">Country Validation Template — v1.1 (43 countries)</t>
  </si>
  <si>
    <t xml:space="preserve">Generated: May 2026  |  Companion to PharmaPricingTool.jsx + pharma_pricing_rules_reference.md</t>
  </si>
  <si>
    <t xml:space="preserve">PURPOSE</t>
  </si>
  <si>
    <t xml:space="preserve">This workbook captures all IRP rules + G2N estimates for 37 countries to enable structured expert validation. Each country has dedicated cells for expert review, status tagging, and source updates. Use this as the source of truth — exports back to JSX/MD reference document.</t>
  </si>
  <si>
    <t xml:space="preserve">STRUCTURE</t>
  </si>
  <si>
    <t xml:space="preserve">Sheet</t>
  </si>
  <si>
    <t xml:space="preserve">Name</t>
  </si>
  <si>
    <t xml:space="preserve">Description</t>
  </si>
  <si>
    <t xml:space="preserve">Sheet 1</t>
  </si>
  <si>
    <t xml:space="preserve">README</t>
  </si>
  <si>
    <t xml:space="preserve">This sheet — instructions, color coding, version history</t>
  </si>
  <si>
    <t xml:space="preserve">Sheet 2</t>
  </si>
  <si>
    <t xml:space="preserve">Country Validation</t>
  </si>
  <si>
    <t xml:space="preserve">37 countries × 13 attributes (authority, basket, formula, etc.) + 4 expert review columns</t>
  </si>
  <si>
    <t xml:space="preserve">Sheet 3</t>
  </si>
  <si>
    <t xml:space="preserve">G2N Validation</t>
  </si>
  <si>
    <t xml:space="preserve">37 countries × 9 G2N attributes (with/without competition, range, mechanisms) + 3 expert review columns</t>
  </si>
  <si>
    <t xml:space="preserve">Sheet 4</t>
  </si>
  <si>
    <t xml:space="preserve">Cascade Hotspots</t>
  </si>
  <si>
    <t xml:space="preserve">Top 10 most-referenced countries; cascade impact rankings</t>
  </si>
  <si>
    <t xml:space="preserve">Sheet 5</t>
  </si>
  <si>
    <t xml:space="preserve">Reform Tracker 2024-2026</t>
  </si>
  <si>
    <t xml:space="preserve">~25 documented reforms — status, type, impact level</t>
  </si>
  <si>
    <t xml:space="preserve">Sheet 6</t>
  </si>
  <si>
    <t xml:space="preserve">Sources Bibliography</t>
  </si>
  <si>
    <t xml:space="preserve">Full URL list with categorization for traceability</t>
  </si>
  <si>
    <t xml:space="preserve">Sheet 7</t>
  </si>
  <si>
    <t xml:space="preserve">Change Log</t>
  </si>
  <si>
    <t xml:space="preserve">Version history + per-country modifications tracking</t>
  </si>
  <si>
    <t xml:space="preserve">COLOR CODING (industry standard)</t>
  </si>
  <si>
    <t xml:space="preserve">Blue text</t>
  </si>
  <si>
    <t xml:space="preserve">Hardcoded inputs — values experts can change for scenarios</t>
  </si>
  <si>
    <t xml:space="preserve">Black text</t>
  </si>
  <si>
    <t xml:space="preserve">Formulas and calculations</t>
  </si>
  <si>
    <t xml:space="preserve">Green text</t>
  </si>
  <si>
    <t xml:space="preserve">Cross-sheet references / pulled values</t>
  </si>
  <si>
    <t xml:space="preserve">Yellow background</t>
  </si>
  <si>
    <t xml:space="preserve">Cells needing attention or pending validation</t>
  </si>
  <si>
    <t xml:space="preserve">Green background</t>
  </si>
  <si>
    <t xml:space="preserve">Validated by expert — no further action</t>
  </si>
  <si>
    <t xml:space="preserve">Amber background</t>
  </si>
  <si>
    <t xml:space="preserve">Needs expert review</t>
  </si>
  <si>
    <t xml:space="preserve">Red background</t>
  </si>
  <si>
    <t xml:space="preserve">Disputed value — multiple expert opinions diverge</t>
  </si>
  <si>
    <t xml:space="preserve">VALIDATION WORKFLOW</t>
  </si>
  <si>
    <t xml:space="preserve">1.</t>
  </si>
  <si>
    <t xml:space="preserve">Send this workbook to country expert (P&amp;MA lead, regulatory consultant, payer)</t>
  </si>
  <si>
    <t xml:space="preserve">2.</t>
  </si>
  <si>
    <t xml:space="preserve">Expert reviews each country row in Sheets 2 &amp; 3</t>
  </si>
  <si>
    <t xml:space="preserve">3.</t>
  </si>
  <si>
    <t xml:space="preserve">Expert sets the "Validation Status" column to: VALIDATED, NEEDS UPDATE, DISPUTED</t>
  </si>
  <si>
    <t xml:space="preserve">4.</t>
  </si>
  <si>
    <t xml:space="preserve">Expert provides corrections in "Expert Update" + "Reasoning" columns where needed</t>
  </si>
  <si>
    <t xml:space="preserve">5.</t>
  </si>
  <si>
    <t xml:space="preserve">Expert adds new sources in "Additional Sources" column</t>
  </si>
  <si>
    <t xml:space="preserve">6.</t>
  </si>
  <si>
    <t xml:space="preserve">Expert signs off in the Change Log (Sheet 7) with date + name + role</t>
  </si>
  <si>
    <t xml:space="preserve">7.</t>
  </si>
  <si>
    <t xml:space="preserve">After expert review: export updated values back to JSX (PharmaPricingTool.jsx) + MD doc</t>
  </si>
  <si>
    <t xml:space="preserve">IMPORTANT NOTES</t>
  </si>
  <si>
    <t xml:space="preserve">•</t>
  </si>
  <si>
    <t xml:space="preserve">IRP rules are codified in regulation but interpretation often varies — capture nuances in "Reasoning" column.</t>
  </si>
  <si>
    <t xml:space="preserve">G2N (gross-to-net) data is INHERENTLY confidential. Estimates are typical ranges, not precise values.</t>
  </si>
  <si>
    <t xml:space="preserve">Several countries use IRP only as a "supportive criterion" (e.g. Italy, Belgium, Spain, France) — distinguish formal vs. de facto rules.</t>
  </si>
  <si>
    <t xml:space="preserve">Confidence levels: HIGH = primary payer interviews + statutory documentation; MEDIUM = industry consensus from multiple sources; LOW = limited public data.</t>
  </si>
  <si>
    <t xml:space="preserve">Major reforms 2024-2026 are tracked in Sheet 5 — verify the country still applies the documented rule.</t>
  </si>
  <si>
    <t xml:space="preserve">Cross-cascade dynamics: Germany / UK / France / Italy / Spain are "hotspots" — an error here propagates to 15-25 downstream markets.</t>
  </si>
  <si>
    <t xml:space="preserve">COUNTRY VALIDATION — 37 COUNTRIES × IRP RULES</t>
  </si>
  <si>
    <t xml:space="preserve">Each row captures the documented IRP rule + 4 columns for expert validation. Set status to VALIDATED / NEEDS UPDATE / DISPUTED.</t>
  </si>
  <si>
    <t xml:space="preserve">Code</t>
  </si>
  <si>
    <t xml:space="preserve">Region</t>
  </si>
  <si>
    <t xml:space="preserve">Authority</t>
  </si>
  <si>
    <t xml:space="preserve">Uses IRP</t>
  </si>
  <si>
    <t xml:space="preserve">Basket (summary)</t>
  </si>
  <si>
    <t xml:space="preserve">Formula</t>
  </si>
  <si>
    <t xml:space="preserve">Price Level</t>
  </si>
  <si>
    <t xml:space="preserve">Lag (months)</t>
  </si>
  <si>
    <t xml:space="preserve">Frequency</t>
  </si>
  <si>
    <t xml:space="preserve">Key 2024-2026 Changes</t>
  </si>
  <si>
    <t xml:space="preserve">Reliability</t>
  </si>
  <si>
    <t xml:space="preserve">Source (summary)</t>
  </si>
  <si>
    <t xml:space="preserve">Validation Status</t>
  </si>
  <si>
    <t xml:space="preserve">Expert Update (if any)</t>
  </si>
  <si>
    <t xml:space="preserve">Reasoning / Comments</t>
  </si>
  <si>
    <t xml:space="preserve">Additional Sources</t>
  </si>
  <si>
    <t xml:space="preserve">Reviewer</t>
  </si>
  <si>
    <t xml:space="preserve">US</t>
  </si>
  <si>
    <t xml:space="preserve">United States</t>
  </si>
  <si>
    <t xml:space="preserve">Americas</t>
  </si>
  <si>
    <t xml:space="preserve">CMS / FDA</t>
  </si>
  <si>
    <t xml:space="preserve">Yes (proposed MFN)</t>
  </si>
  <si>
    <t xml:space="preserve">OECD-19 ≥60% US GDP/PPP for Generous; OECD-19 for Guard/Globe</t>
  </si>
  <si>
    <t xml:space="preserve">Generous: 2nd lowest GDP-PPP adjusted; Guard: lowest+2% (Method I) / volume-weighted+5% (Method II); Globe: similar</t>
  </si>
  <si>
    <t xml:space="preserve">List/wholesale</t>
  </si>
  <si>
    <t xml:space="preserve">Annual</t>
  </si>
  <si>
    <t xml:space="preserve">Generous/Guard/Globe proposed Dec 23, 2025; phase-in 2026-2031 if finalized</t>
  </si>
  <si>
    <t xml:space="preserve">verified</t>
  </si>
  <si>
    <t xml:space="preserve">CMS Federal Register Vol. 90 No. 244</t>
  </si>
  <si>
    <t xml:space="preserve">CA</t>
  </si>
  <si>
    <t xml:space="preserve">Canada</t>
  </si>
  <si>
    <t xml:space="preserve">PMPRB</t>
  </si>
  <si>
    <t xml:space="preserve">Yes</t>
  </si>
  <si>
    <t xml:space="preserve">PMPRB11 = AU,BE,FR,DE,IT,JP,NL,NO,ES,SE,UK</t>
  </si>
  <si>
    <t xml:space="preserve">Median (MIP) until Jan 2026; switching to Highest (HIP) screening</t>
  </si>
  <si>
    <t xml:space="preserve">List ex-factory</t>
  </si>
  <si>
    <t xml:space="preserve">New PMPRB Guidelines effective Jan 2026 — HIP screening replaces MIP. US removed from basket Jul 2021</t>
  </si>
  <si>
    <t xml:space="preserve">PMPRB Annual Report 2024</t>
  </si>
  <si>
    <t xml:space="preserve">MX</t>
  </si>
  <si>
    <t xml:space="preserve">Mexico</t>
  </si>
  <si>
    <t xml:space="preserve">COFEPRIS / UNOPS / IMSS</t>
  </si>
  <si>
    <t xml:space="preserve">No formal IRP</t>
  </si>
  <si>
    <t xml:space="preserve">N/A — uses pooled procurement (UNOPS since 2020)</t>
  </si>
  <si>
    <t xml:space="preserve">Tender-based competitive bidding</t>
  </si>
  <si>
    <t xml:space="preserve">Public sector tendering / private free pricing</t>
  </si>
  <si>
    <t xml:space="preserve">Continuous</t>
  </si>
  <si>
    <t xml:space="preserve">COFEPRIS new registration process Jan 2023; Sheinbaum admin reviewing UNOPS arrangement</t>
  </si>
  <si>
    <t xml:space="preserve">Pharmaboardroom 2025 / UNOPS-INSABI Agreement Jul 2020</t>
  </si>
  <si>
    <t xml:space="preserve">BR</t>
  </si>
  <si>
    <t xml:space="preserve">Brazil</t>
  </si>
  <si>
    <t xml:space="preserve">CMED / ANVISA</t>
  </si>
  <si>
    <t xml:space="preserve">CMED 14-country basket from Apr 2026: AT, BE, CA, FR, DE, GR, IT, JP, NL, PT, SE, ES, UK, US (excl. AR + CN)</t>
  </si>
  <si>
    <t xml:space="preserve">Lowest (CMED Resolution 3/2025)</t>
  </si>
  <si>
    <t xml:space="preserve">Wholesale</t>
  </si>
  <si>
    <t xml:space="preserve">CMED Resolution 3/2025 effective Apr 29, 2026 — basket expanded 9→14 countries</t>
  </si>
  <si>
    <t xml:space="preserve">CMED Resolution 3/2025</t>
  </si>
  <si>
    <t xml:space="preserve">AR</t>
  </si>
  <si>
    <t xml:space="preserve">Argentina</t>
  </si>
  <si>
    <t xml:space="preserve">ANMAT / Ministry of Health</t>
  </si>
  <si>
    <t xml:space="preserve">N/A — no formal regulation</t>
  </si>
  <si>
    <t xml:space="preserve">No formal pricing rule</t>
  </si>
  <si>
    <t xml:space="preserve">Free private market / state procurement</t>
  </si>
  <si>
    <t xml:space="preserve">N/A</t>
  </si>
  <si>
    <t xml:space="preserve">Explicitly EXCLUDED from Brazil basket (CMED 3/2025) due to weak regulation + currency volatility</t>
  </si>
  <si>
    <t xml:space="preserve">CMED 3/2025 rationale</t>
  </si>
  <si>
    <t xml:space="preserve">CO</t>
  </si>
  <si>
    <t xml:space="preserve">Colombia</t>
  </si>
  <si>
    <t xml:space="preserve">CNPMDM / INVIMA / IETS</t>
  </si>
  <si>
    <t xml:space="preserve">Yes (post-launch)</t>
  </si>
  <si>
    <t xml:space="preserve">IRP applied if Group A direct control (IHH 5-8); UK, FR, DE, ES, PT and others as comparators</t>
  </si>
  <si>
    <t xml:space="preserve">Reference price calculation per Circular 18/2024</t>
  </si>
  <si>
    <t xml:space="preserve">Periodic</t>
  </si>
  <si>
    <t xml:space="preserve">Circular 18/2024 IHH-based market classification; VBP reform pending (Circular 16/2023)</t>
  </si>
  <si>
    <t xml:space="preserve">Circular 18/2024 + 16/2023</t>
  </si>
  <si>
    <t xml:space="preserve">CL</t>
  </si>
  <si>
    <t xml:space="preserve">Chile</t>
  </si>
  <si>
    <t xml:space="preserve">ISP / CENABAST</t>
  </si>
  <si>
    <t xml:space="preserve">N/A — tendering only</t>
  </si>
  <si>
    <t xml:space="preserve">CENABAST competitive bidding (public) / free private market</t>
  </si>
  <si>
    <t xml:space="preserve">Tender / free</t>
  </si>
  <si>
    <t xml:space="preserve">Most market-driven LATAM pharma system</t>
  </si>
  <si>
    <t xml:space="preserve">CENABAST / ChileCompra</t>
  </si>
  <si>
    <t xml:space="preserve">UK</t>
  </si>
  <si>
    <t xml:space="preserve">United Kingdom</t>
  </si>
  <si>
    <t xml:space="preserve">Europe</t>
  </si>
  <si>
    <t xml:space="preserve">NICE / VPAG</t>
  </si>
  <si>
    <t xml:space="preserve">N/A — VBP via NICE HTA</t>
  </si>
  <si>
    <t xml:space="preserve">Cost-effectiveness threshold (£20–30k/QALY); VPAG industry-wide payback if NHS spend &gt; cap</t>
  </si>
  <si>
    <t xml:space="preserve">Confidential PAS net price</t>
  </si>
  <si>
    <t xml:space="preserve">VPAG (replaces VPAS) 2024 payback rate 21.4%</t>
  </si>
  <si>
    <t xml:space="preserve">NICE / VPAG 2024 / DHSC</t>
  </si>
  <si>
    <t xml:space="preserve">FR</t>
  </si>
  <si>
    <t xml:space="preserve">France</t>
  </si>
  <si>
    <t xml:space="preserve">CEPS / HAS / CSP</t>
  </si>
  <si>
    <t xml:space="preserve">Limited (value-based)</t>
  </si>
  <si>
    <t xml:space="preserve">EU price guarantee for ASMR I/II/III: UK, DE, ES, IT (4 countries)</t>
  </si>
  <si>
    <t xml:space="preserve">Value-based ASMR rating; lowest of 4 for ASMR I/II/III</t>
  </si>
  <si>
    <t xml:space="preserve">Ex-factory list</t>
  </si>
  <si>
    <t xml:space="preserve">LFSS 2026 Article 88 may add JP/KR; CEPS confidential rebates avg 25%</t>
  </si>
  <si>
    <t xml:space="preserve">LFSS 2026 / Simon-Kucher 2024-2026</t>
  </si>
  <si>
    <t xml:space="preserve">DE</t>
  </si>
  <si>
    <t xml:space="preserve">Germany</t>
  </si>
  <si>
    <t xml:space="preserve">GKV-SV / G-BA</t>
  </si>
  <si>
    <t xml:space="preserve">Yes (post-AMNOG)</t>
  </si>
  <si>
    <t xml:space="preserve">15-country basket (AT, BE, CZ, DK, EL, FI, FR, IE, IT, NL, PT, SK, SI, ES, SE) — supportive only</t>
  </si>
  <si>
    <t xml:space="preserve">AMNOG benefit assessment + price negotiation</t>
  </si>
  <si>
    <t xml:space="preserve">Medical Research Act (Mar 2026): confidential pricing option = +9% additional discount but list preserved</t>
  </si>
  <si>
    <t xml:space="preserve">Medical Research Act 2026 / AMNOG</t>
  </si>
  <si>
    <t xml:space="preserve">IT</t>
  </si>
  <si>
    <t xml:space="preserve">Italy</t>
  </si>
  <si>
    <t xml:space="preserve">AIFA CSE</t>
  </si>
  <si>
    <t xml:space="preserve">No formal basket — IRP supportive only</t>
  </si>
  <si>
    <t xml:space="preserve">Negotiation-based (CSE since Jan 2024); blended pricing model</t>
  </si>
  <si>
    <t xml:space="preserve">Ex-factory list (with confidential MEAs)</t>
  </si>
  <si>
    <t xml:space="preserve">At launch + extensions</t>
  </si>
  <si>
    <t xml:space="preserve">AIFA CSE (10 members) operational since Jan 30, 2024 — replaced CTS+CPR</t>
  </si>
  <si>
    <t xml:space="preserve">GLI 2024 / Trinity Life Sciences / AIFA</t>
  </si>
  <si>
    <t xml:space="preserve">ES</t>
  </si>
  <si>
    <t xml:space="preserve">Spain</t>
  </si>
  <si>
    <t xml:space="preserve">CIPM / AEMPS</t>
  </si>
  <si>
    <t xml:space="preserve">Internal criterion only</t>
  </si>
  <si>
    <t xml:space="preserve">EU MS where drug is marketed (informal)</t>
  </si>
  <si>
    <t xml:space="preserve">Lowest in basket (when applied as supportive)</t>
  </si>
  <si>
    <t xml:space="preserve">Ex-factory PVL</t>
  </si>
  <si>
    <t xml:space="preserve">Annual review</t>
  </si>
  <si>
    <t xml:space="preserve">IRP NO LONGER IN FORMAL LAW since RDL 16/2012; Draft Law on Medicinal Products published Apr 2025</t>
  </si>
  <si>
    <t xml:space="preserve">GLI Spain 2025 / RDL 1/2015 + 16/2012</t>
  </si>
  <si>
    <t xml:space="preserve">NL</t>
  </si>
  <si>
    <t xml:space="preserve">Netherlands</t>
  </si>
  <si>
    <t xml:space="preserve">VWS / BFAG</t>
  </si>
  <si>
    <t xml:space="preserve">Yes (Wgp Act)</t>
  </si>
  <si>
    <t xml:space="preserve">BE, FR, NO, UK (4 countries — Norway replaced Germany Oct 2020)</t>
  </si>
  <si>
    <t xml:space="preserve">Average wholesale price (AIP)</t>
  </si>
  <si>
    <t xml:space="preserve">Wholesale list</t>
  </si>
  <si>
    <t xml:space="preserve">Twice yearly (Apr+Oct)</t>
  </si>
  <si>
    <t xml:space="preserve">Basket update Oct 2020 (NO replaced DE); Max 10% decline mitigation</t>
  </si>
  <si>
    <t xml:space="preserve">Government.nl / Eversana 2020 / GLI 2025</t>
  </si>
  <si>
    <t xml:space="preserve">CH</t>
  </si>
  <si>
    <t xml:space="preserve">Switzerland</t>
  </si>
  <si>
    <t xml:space="preserve">BAG / OFSP</t>
  </si>
  <si>
    <t xml:space="preserve">9 countries: AT, BE, DE, DK, FI, FR, NL, SE, UK</t>
  </si>
  <si>
    <t xml:space="preserve">APV (avg of basket) + TQV (cost-effectiveness comparator) combined</t>
  </si>
  <si>
    <t xml:space="preserve">Ex-factory FAP (since Jan 2024)</t>
  </si>
  <si>
    <t xml:space="preserve">Triennial review</t>
  </si>
  <si>
    <t xml:space="preserve">Switched to ex-factory FAP in Jan 2024 (was ex-pharmacy)</t>
  </si>
  <si>
    <t xml:space="preserve">BAG / PwC 2024</t>
  </si>
  <si>
    <t xml:space="preserve">AT</t>
  </si>
  <si>
    <t xml:space="preserve">Austria</t>
  </si>
  <si>
    <t xml:space="preserve">BMSGPK / Dachverband</t>
  </si>
  <si>
    <t xml:space="preserve">Yes (outpatient only)</t>
  </si>
  <si>
    <t xml:space="preserve">All EU member states where drug is marketed</t>
  </si>
  <si>
    <t xml:space="preserve">Average price of available reference countries</t>
  </si>
  <si>
    <t xml:space="preserve">Ex-factory</t>
  </si>
  <si>
    <t xml:space="preserve">Pharmaceutical Evaluation Board (2024) for HTA of high-priced/interface medicines; EU JCA from 2025</t>
  </si>
  <si>
    <t xml:space="preserve">GLI 2024 / KAKuG 2024 reform</t>
  </si>
  <si>
    <t xml:space="preserve">BE</t>
  </si>
  <si>
    <t xml:space="preserve">Belgium</t>
  </si>
  <si>
    <t xml:space="preserve">NIHDI / RIZIV / FAMHP</t>
  </si>
  <si>
    <t xml:space="preserve">Yes (supportive)</t>
  </si>
  <si>
    <t xml:space="preserve">All 26 EU MS + price in country of origin</t>
  </si>
  <si>
    <t xml:space="preserve">Average of reference countries OR price in country of origin</t>
  </si>
  <si>
    <t xml:space="preserve">Ex-factory max + maximum public price</t>
  </si>
  <si>
    <t xml:space="preserve">At launch + parallel reimbursement</t>
  </si>
  <si>
    <t xml:space="preserve">Article 35bis "closed envelope" MEAs avg compensation 29%(2014)→53.8%(2021); Beneluxa Initiative founder</t>
  </si>
  <si>
    <t xml:space="preserve">GLI 2024 / KCE / MORSE Report</t>
  </si>
  <si>
    <t xml:space="preserve">SE</t>
  </si>
  <si>
    <t xml:space="preserve">Sweden</t>
  </si>
  <si>
    <t xml:space="preserve">TLV</t>
  </si>
  <si>
    <t xml:space="preserve">N/A — value-based pricing</t>
  </si>
  <si>
    <t xml:space="preserve">Cost-effectiveness assessment by TLV</t>
  </si>
  <si>
    <t xml:space="preserve">List</t>
  </si>
  <si>
    <t xml:space="preserve">No fixed willingness-to-pay threshold</t>
  </si>
  <si>
    <t xml:space="preserve">TLV public documents</t>
  </si>
  <si>
    <t xml:space="preserve">NO</t>
  </si>
  <si>
    <t xml:space="preserve">Norway</t>
  </si>
  <si>
    <t xml:space="preserve">NoMA (DMP)</t>
  </si>
  <si>
    <t xml:space="preserve">Yes (mandatory POM)</t>
  </si>
  <si>
    <t xml:space="preserve">9 countries: SE, FI, DK, DE, UK, NL, AT, BE, IE</t>
  </si>
  <si>
    <t xml:space="preserve">Mean of 3 lowest market prices (mean exchange rate 6 mo)</t>
  </si>
  <si>
    <t xml:space="preserve">Maximum PPP (ex-factory)</t>
  </si>
  <si>
    <t xml:space="preserve">Annual top sellers</t>
  </si>
  <si>
    <t xml:space="preserve">Currency volatility considerations; LIS hospital sector net prices confidential</t>
  </si>
  <si>
    <t xml:space="preserve">NoMA dmp.no / PPRI Norway 2018</t>
  </si>
  <si>
    <t xml:space="preserve">DK</t>
  </si>
  <si>
    <t xml:space="preserve">Denmark</t>
  </si>
  <si>
    <t xml:space="preserve">Lif / Lægemiddelstyrelsen / Medicinrådet</t>
  </si>
  <si>
    <t xml:space="preserve">Yes (hospital only)</t>
  </si>
  <si>
    <t xml:space="preserve">Hospital: 9 countries SE, NO, FI, UK, NL, BE, DE, IE, AT</t>
  </si>
  <si>
    <t xml:space="preserve">Hospital: average; Primary care: internal RPS (cheapest domestic)</t>
  </si>
  <si>
    <t xml:space="preserve">List + cap</t>
  </si>
  <si>
    <t xml:space="preserve">Price-cap agreement 2025-2027</t>
  </si>
  <si>
    <t xml:space="preserve">Scheduled price-cap reductions: -2.1% Jul 2025, -2.1% Feb 2026, -0.8% Feb 2027</t>
  </si>
  <si>
    <t xml:space="preserve">Lif Price-cap Agreement 2025-2027</t>
  </si>
  <si>
    <t xml:space="preserve">IE</t>
  </si>
  <si>
    <t xml:space="preserve">Ireland</t>
  </si>
  <si>
    <t xml:space="preserve">HSE / IPHA Framework</t>
  </si>
  <si>
    <t xml:space="preserve">Yes (mandatory)</t>
  </si>
  <si>
    <t xml:space="preserve">14 countries: AT, BE, DK, FI, FR, DE, EL, IT, LU, NL, PT, ES, SE, UK</t>
  </si>
  <si>
    <t xml:space="preserve">Currency-adjusted average ex-factory; only DOWNWARD realignments</t>
  </si>
  <si>
    <t xml:space="preserve">Annual realignment</t>
  </si>
  <si>
    <t xml:space="preserve">New IPHA Framework Agreement signed Mar 2026; HSE rebate 9% (2025); EURIPID database used</t>
  </si>
  <si>
    <t xml:space="preserve">IPHA 2021+2026 Agreements / Health Act 2013</t>
  </si>
  <si>
    <t xml:space="preserve">PL</t>
  </si>
  <si>
    <t xml:space="preserve">Poland</t>
  </si>
  <si>
    <t xml:space="preserve">MoH / AOTMiT / Economic Commission</t>
  </si>
  <si>
    <t xml:space="preserve">Yes (informal)</t>
  </si>
  <si>
    <t xml:space="preserve">All EU/EEA + Switzerland</t>
  </si>
  <si>
    <t xml:space="preserve">Lowest price in basket / lowest in "limit group"</t>
  </si>
  <si>
    <t xml:space="preserve">2023 Reimbursement Act amendments; ~14% avg price erosion since launch</t>
  </si>
  <si>
    <t xml:space="preserve">GLI Poland 2025 / Refundacyjna Act 2011 + 2023 amend</t>
  </si>
  <si>
    <t xml:space="preserve">CZ</t>
  </si>
  <si>
    <t xml:space="preserve">Czech Republic</t>
  </si>
  <si>
    <t xml:space="preserve">SUKL</t>
  </si>
  <si>
    <t xml:space="preserve">Yes (main tool)</t>
  </si>
  <si>
    <t xml:space="preserve">18 EU/EEA reference countries</t>
  </si>
  <si>
    <t xml:space="preserve">Average of 3 lowest priced countries in basket</t>
  </si>
  <si>
    <t xml:space="preserve">5-year comprehensive review</t>
  </si>
  <si>
    <t xml:space="preserve">Auto reductions on competitor entry; HIMP 3-year reimbursement extendable; 7th in EFPIA W.A.I.T. 2024</t>
  </si>
  <si>
    <t xml:space="preserve">GLI Czech 2025 / Act 48/1997</t>
  </si>
  <si>
    <t xml:space="preserve">TR</t>
  </si>
  <si>
    <t xml:space="preserve">Turkey</t>
  </si>
  <si>
    <t xml:space="preserve">TITCK / SGK / FDK</t>
  </si>
  <si>
    <t xml:space="preserve">Yes (mandatory primary)</t>
  </si>
  <si>
    <t xml:space="preserve">5 countries: FR, GR, IT, PT, ES + country of origin/serial release</t>
  </si>
  <si>
    <t xml:space="preserve">Lowest warehouse sale price</t>
  </si>
  <si>
    <t xml:space="preserve">Ex-factory max warehouse</t>
  </si>
  <si>
    <t xml:space="preserve">Continuous + annual EUR rate</t>
  </si>
  <si>
    <t xml:space="preserve">Feb 2026: EUR rate raised to 25.3346 TRY/EUR (+17%); fixed pharmaceutical EUR rate vs market rate</t>
  </si>
  <si>
    <t xml:space="preserve">GRATA 2024 / Pharm Tech 2024 / 2017 Communiqué + 24 Oct 2024 Decree</t>
  </si>
  <si>
    <t xml:space="preserve">RU</t>
  </si>
  <si>
    <t xml:space="preserve">Russia</t>
  </si>
  <si>
    <t xml:space="preserve">Minzdrav / FAS</t>
  </si>
  <si>
    <t xml:space="preserve">Yes (ZHNVLP only)</t>
  </si>
  <si>
    <t xml:space="preserve">~21 countries: DE, FR, UK, IT, ES, BE, NL, AT, EL, PT, HU, CZ, PL, RO, SK, BG, TR + manufacturing countries</t>
  </si>
  <si>
    <t xml:space="preserve">Minimum price observed in basket countries</t>
  </si>
  <si>
    <t xml:space="preserve">Wholesale registered price</t>
  </si>
  <si>
    <t xml:space="preserve">Manufacturer request</t>
  </si>
  <si>
    <t xml:space="preserve">Post-2022 sanctions: many Western pharmas reduced presence; parallel imports legalized May 2022; CL more frequent</t>
  </si>
  <si>
    <t xml:space="preserve">Government Decree 865 + 2019 revisions</t>
  </si>
  <si>
    <t xml:space="preserve">JP</t>
  </si>
  <si>
    <t xml:space="preserve">Japan</t>
  </si>
  <si>
    <t xml:space="preserve">Asia-Pacific</t>
  </si>
  <si>
    <t xml:space="preserve">MHLW / Chuikyo / PMDA</t>
  </si>
  <si>
    <t xml:space="preserve">Yes (FPA)</t>
  </si>
  <si>
    <t xml:space="preserve">4 countries: US, UK, FR, DE</t>
  </si>
  <si>
    <t xml:space="preserve">FPA: trigger if JP ≥1.25× or ≤0.75× foreign avg, cap 1.2×</t>
  </si>
  <si>
    <t xml:space="preserve">List (NHI price)</t>
  </si>
  <si>
    <t xml:space="preserve">Biennial reductions</t>
  </si>
  <si>
    <t xml:space="preserve">FY2026 reform: DE referenced only post-AMNOG net price; spillover rule abolished; SPA-SSS up to -66.7% for blockbusters</t>
  </si>
  <si>
    <t xml:space="preserve">MHLW / Chuikyo FY2024-FY2026 reforms</t>
  </si>
  <si>
    <t xml:space="preserve">KR</t>
  </si>
  <si>
    <t xml:space="preserve">South Korea</t>
  </si>
  <si>
    <t xml:space="preserve">HIRA / NHIS</t>
  </si>
  <si>
    <t xml:space="preserve">Yes (A8)</t>
  </si>
  <si>
    <t xml:space="preserve">8 countries: US, UK, DE, FR, IT, CH, JP, CA (added Canada 2022)</t>
  </si>
  <si>
    <t xml:space="preserve">Average adjusted (essential) / lowest (PE exemption)</t>
  </si>
  <si>
    <t xml:space="preserve">A8 basket added Canada 2022; NHIS RSAs since 2014 increasingly common</t>
  </si>
  <si>
    <t xml:space="preserve">HIRA / Frontiers 2024</t>
  </si>
  <si>
    <t xml:space="preserve">CN</t>
  </si>
  <si>
    <t xml:space="preserve">China</t>
  </si>
  <si>
    <t xml:space="preserve">NHSA</t>
  </si>
  <si>
    <t xml:space="preserve">N/A — NRDL annual negotiation</t>
  </si>
  <si>
    <t xml:space="preserve">Negotiated annual price cuts (avg 50-65%)</t>
  </si>
  <si>
    <t xml:space="preserve">Negotiated price</t>
  </si>
  <si>
    <t xml:space="preserve">Category C list 2025 for innovative high-cost; significantly reduces from initial price</t>
  </si>
  <si>
    <t xml:space="preserve">NHSA / NRDL 2024-2025 + Category C</t>
  </si>
  <si>
    <t xml:space="preserve">IN</t>
  </si>
  <si>
    <t xml:space="preserve">India</t>
  </si>
  <si>
    <t xml:space="preserve">NPPA</t>
  </si>
  <si>
    <t xml:space="preserve">No (internal RPS)</t>
  </si>
  <si>
    <t xml:space="preserve">N/A — internal_avg (DPCO 2013)</t>
  </si>
  <si>
    <t xml:space="preserve">Top 3 brands market share weighted average</t>
  </si>
  <si>
    <t xml:space="preserve">Ceiling price</t>
  </si>
  <si>
    <t xml:space="preserve">Limited rebate culture; DPCO 2013 governs scheduled drugs</t>
  </si>
  <si>
    <t xml:space="preserve">NPPA / DPCO 2013</t>
  </si>
  <si>
    <t xml:space="preserve">AU</t>
  </si>
  <si>
    <t xml:space="preserve">Australia</t>
  </si>
  <si>
    <t xml:space="preserve">PBAC / DOH</t>
  </si>
  <si>
    <t xml:space="preserve">N/A — value-based via PBAC</t>
  </si>
  <si>
    <t xml:space="preserve">Cost-effectiveness assessment by PBAC</t>
  </si>
  <si>
    <t xml:space="preserve">List + SPA confidential</t>
  </si>
  <si>
    <t xml:space="preserve">Special Pricing Arrangements (SPA) ~50% of new listings</t>
  </si>
  <si>
    <t xml:space="preserve">PBAC / Department of Health</t>
  </si>
  <si>
    <t xml:space="preserve">ID</t>
  </si>
  <si>
    <t xml:space="preserve">Indonesia</t>
  </si>
  <si>
    <t xml:space="preserve">BPOM / BPJS-K / LKPP</t>
  </si>
  <si>
    <t xml:space="preserve">No (tender-based)</t>
  </si>
  <si>
    <t xml:space="preserve">N/A — e-Catalogue (e-Katalog) tender system</t>
  </si>
  <si>
    <t xml:space="preserve">Competitive tender bidding</t>
  </si>
  <si>
    <t xml:space="preserve">Tender price</t>
  </si>
  <si>
    <t xml:space="preserve">JKN universal coverage 2014; e-Catalogue centralized procurement</t>
  </si>
  <si>
    <t xml:space="preserve">Tandfonline 2019 / MTAPS 2021</t>
  </si>
  <si>
    <t xml:space="preserve">TH</t>
  </si>
  <si>
    <t xml:space="preserve">Thailand</t>
  </si>
  <si>
    <t xml:space="preserve">MoPH / NHSO / HITAP</t>
  </si>
  <si>
    <t xml:space="preserve">No (HTA-driven)</t>
  </si>
  <si>
    <t xml:space="preserve">N/A — NLEM via HITAP HTA</t>
  </si>
  <si>
    <t xml:space="preserve">HTA threshold ~120k THB/QALY + GPO negotiation</t>
  </si>
  <si>
    <t xml:space="preserve">Negotiated</t>
  </si>
  <si>
    <t xml:space="preserve">Compulsory licensing precedents; MEAs/risk-sharing for cancer/rare</t>
  </si>
  <si>
    <t xml:space="preserve">HITAP / NHSO documentation</t>
  </si>
  <si>
    <t xml:space="preserve">IL</t>
  </si>
  <si>
    <t xml:space="preserve">Israel</t>
  </si>
  <si>
    <t xml:space="preserve">Middle East</t>
  </si>
  <si>
    <t xml:space="preserve">MoH / MoF Pricing Committee</t>
  </si>
  <si>
    <t xml:space="preserve">7 countries: BE, ES, HU, FR, UK, DE, NL</t>
  </si>
  <si>
    <t xml:space="preserve">Average of 3 lowest prices</t>
  </si>
  <si>
    <t xml:space="preserve">Wholesale (normative)</t>
  </si>
  <si>
    <t xml:space="preserve">Annual + mid-year if EUR&gt;3% move</t>
  </si>
  <si>
    <t xml:space="preserve">2024: MoH mandated 3.6% reduction on 1500 drugs</t>
  </si>
  <si>
    <t xml:space="preserve">Pharma-Israel.org / Order 2001 + 2018 Amendments</t>
  </si>
  <si>
    <t xml:space="preserve">SA</t>
  </si>
  <si>
    <t xml:space="preserve">Saudi Arabia</t>
  </si>
  <si>
    <t xml:space="preserve">SFDA / NUPCO</t>
  </si>
  <si>
    <t xml:space="preserve">Yes (key tool, reduced post-2021)</t>
  </si>
  <si>
    <t xml:space="preserve">20 countries (revised from 30 in 2021): AU, AT, BE, BR, CA, FR, HU, IE, IT, JP, JO, LB, NL, PT, ZA, KR, SE, CH, AE, UK</t>
  </si>
  <si>
    <t xml:space="preserve">Lowest of: country of origin, median of basket, manufacturer export, public Saudi</t>
  </si>
  <si>
    <t xml:space="preserve">Ex-factory + CIF + retail public</t>
  </si>
  <si>
    <t xml:space="preserve">Re-pricing at registration renewal</t>
  </si>
  <si>
    <t xml:space="preserve">SFDA 2021 reform: less IRP weight, more HTA. Generic sequence: 1st 70%, 2nd 65%, 3rd+ 60%. Biosim: 1st 75%, 2nd 65%, 3rd+ 55%</t>
  </si>
  <si>
    <t xml:space="preserve">PharmaKnowl Dec 2025 / SFDA 1442 AH Pricing Rules</t>
  </si>
  <si>
    <t xml:space="preserve">AE</t>
  </si>
  <si>
    <t xml:space="preserve">United Arab Emirates</t>
  </si>
  <si>
    <t xml:space="preserve">EDE / DOH / DHA</t>
  </si>
  <si>
    <t xml:space="preserve">GCC + 14 EU + AU, CA, EG, JO, TR, GR (~31 countries)</t>
  </si>
  <si>
    <t xml:space="preserve">Lowest of: median EU, lowest GCC, country of origin</t>
  </si>
  <si>
    <t xml:space="preserve">Federal Decree-Law 38/2024 (Jan 2025) — accelerated approval for innovative drugs; EDE replaced MOHAP 2024</t>
  </si>
  <si>
    <t xml:space="preserve">PMC 10887475 / Middle East Pharma 2025</t>
  </si>
  <si>
    <t xml:space="preserve">EG</t>
  </si>
  <si>
    <t xml:space="preserve">Egypt</t>
  </si>
  <si>
    <t xml:space="preserve">EDA</t>
  </si>
  <si>
    <t xml:space="preserve">Country of origin + 36 reference countries</t>
  </si>
  <si>
    <t xml:space="preserve">Lowest in basket OR country of origin</t>
  </si>
  <si>
    <t xml:space="preserve">Retail (Public Selling Price)</t>
  </si>
  <si>
    <t xml:space="preserve">EDA replaced CAPA in 2019; EGP devaluation creates significant disconnect</t>
  </si>
  <si>
    <t xml:space="preserve">EDA documentation / LSE MENA 2024</t>
  </si>
  <si>
    <t xml:space="preserve">ZA</t>
  </si>
  <si>
    <t xml:space="preserve">South Africa</t>
  </si>
  <si>
    <t xml:space="preserve">Africa</t>
  </si>
  <si>
    <t xml:space="preserve">SAHPRA / Department of Health PEE</t>
  </si>
  <si>
    <t xml:space="preserve">Yes (limited)</t>
  </si>
  <si>
    <t xml:space="preserve">4 countries: AU, NZ, CA, ES</t>
  </si>
  <si>
    <t xml:space="preserve">Lowest</t>
  </si>
  <si>
    <t xml:space="preserve">Single Exit Price (SEP)</t>
  </si>
  <si>
    <t xml:space="preserve">NHI Act 2024 may change dynamics; SAHPRA fee regulations 13 Feb 2025</t>
  </si>
  <si>
    <t xml:space="preserve">SAHPRA / NHI Act 2024</t>
  </si>
  <si>
    <t xml:space="preserve">GR</t>
  </si>
  <si>
    <t xml:space="preserve">Greece</t>
  </si>
  <si>
    <t xml:space="preserve">EOPYY / EOF / Pricing Committee</t>
  </si>
  <si>
    <t xml:space="preserve">EU available countries (variable)</t>
  </si>
  <si>
    <t xml:space="preserve">Average of 3 lowest EU prices; Off-patent: 50%; Generic: 40%</t>
  </si>
  <si>
    <t xml:space="preserve">Biannual</t>
  </si>
  <si>
    <t xml:space="preserve">⚠️ HIGHEST clawback in EU: hospital &gt;75% in 2024, EOPYY 62.7%, innovative therapies 79.8% (PIF). MD 3410/2024 + 10186/2024 reformed clawback calc; €3 cap on generic patient contribution. Framework Agreement 2025-2027 in negotiation</t>
  </si>
  <si>
    <t xml:space="preserve">EY 2024 / PIF Greece 2025 / SFEE 2024 / Pharma-Tech / MD 3410+10186/2024</t>
  </si>
  <si>
    <t xml:space="preserve">PT</t>
  </si>
  <si>
    <t xml:space="preserve">Portugal</t>
  </si>
  <si>
    <t xml:space="preserve">INFARMED</t>
  </si>
  <si>
    <t xml:space="preserve">4 countries: ES, FR, IT, SI</t>
  </si>
  <si>
    <t xml:space="preserve">Average of basket (or LOWEST if reduced); Hospital: lowest</t>
  </si>
  <si>
    <t xml:space="preserve">Ex-factory PVA</t>
  </si>
  <si>
    <t xml:space="preserve">Decree-Law 128/2023 (effective Jan 2, 2024): retail PVP REMOVED from packaging. CRR (Reimbursement Contracts) for innovative drugs increasingly common. SiNATS HTA threshold ~30k€/QALY</t>
  </si>
  <si>
    <t xml:space="preserve">GLI Portugal 2024 / Lexology Jan 2024 / Cuatrecasas / Decree-Law 97/2015 + 128/2023</t>
  </si>
  <si>
    <t xml:space="preserve">HU</t>
  </si>
  <si>
    <t xml:space="preserve">Hungary</t>
  </si>
  <si>
    <t xml:space="preserve">NEAK / Ministry of Health</t>
  </si>
  <si>
    <t xml:space="preserve">Yes (broadest in EU)</t>
  </si>
  <si>
    <t xml:space="preserve">EU 27 + CH + NO + IS (30 countries)</t>
  </si>
  <si>
    <t xml:space="preserve">LOWEST among reference countries</t>
  </si>
  <si>
    <t xml:space="preserve">⚠️ 3-country EEA requirement LIFTED Jun 2023 (now even single-country reimbursement triggers HU pricing). New Batthyány-Strattmann Foundation Jan 2025 for named-patient. Internal RPS + blind bidding + 20% special tax</t>
  </si>
  <si>
    <t xml:space="preserve">PPRI Hungary 2024 / Baker McKenzie 2024-2025 / Wolf Theiss / NEAK / Act XXIX of 2024</t>
  </si>
  <si>
    <t xml:space="preserve">RO</t>
  </si>
  <si>
    <t xml:space="preserve">Romania</t>
  </si>
  <si>
    <t xml:space="preserve">MoH / NAMMDR / CNAS</t>
  </si>
  <si>
    <t xml:space="preserve">12 countries: AT, BE, BG, CZ, DE, GR, HU, IT, LT, PL, SK, ES</t>
  </si>
  <si>
    <t xml:space="preserve">LOWEST max manufacturer price; Public Catalogue: avg of 3 lowest; Generic: 65-80% of innovator</t>
  </si>
  <si>
    <t xml:space="preserve">Ex-factory in RON</t>
  </si>
  <si>
    <t xml:space="preserve">CANAMED Catalogue. EUR→RON conversion at MoH-imposed rate. Severe clawback often &gt;25% during budget crises. 1,200+ legislative changes past 10 years</t>
  </si>
  <si>
    <t xml:space="preserve">Lexology 2024 / Wolf Theiss / Pharm Tech CEE / Law 95/2006 / CANAMED</t>
  </si>
  <si>
    <t xml:space="preserve">SK</t>
  </si>
  <si>
    <t xml:space="preserve">Slovakia</t>
  </si>
  <si>
    <t xml:space="preserve">MoH / SIDC / Categorization Committee</t>
  </si>
  <si>
    <t xml:space="preserve">Yes (since 2008)</t>
  </si>
  <si>
    <t xml:space="preserve">27 EU MS (excluding SK)</t>
  </si>
  <si>
    <t xml:space="preserve">AVERAGE of 3 LOWEST in basket</t>
  </si>
  <si>
    <t xml:space="preserve">Mandatory generic drops 1st -45%, 2nd -10%, 3rd -5%. Cost/QALY 24-35× monthly avg wage. Conditional reimbursement 24-mo for orphans. ⚠️ Bulgaria-Slovakia deadlock (mutual referencing)</t>
  </si>
  <si>
    <t xml:space="preserve">Frontiers 2021 / FREOPP 2024 / Value in Health / Acts 363/2011 + 577/2004 / Generic Med Review 2025</t>
  </si>
  <si>
    <t xml:space="preserve">BG</t>
  </si>
  <si>
    <t xml:space="preserve">Bulgaria</t>
  </si>
  <si>
    <t xml:space="preserve">NCPRMP / NHIF</t>
  </si>
  <si>
    <t xml:space="preserve">10 countries: BE, FR, GR, IT, LV, LT, RO, SK, SI, ES</t>
  </si>
  <si>
    <t xml:space="preserve">LOWEST in basket</t>
  </si>
  <si>
    <t xml:space="preserve">Continuous + 6-mo trigger</t>
  </si>
  <si>
    <t xml:space="preserve">6-month trigger window for any reference change. 2024: IRP expanded to non-reimbursed infectious disease medicines (rare expansion). ⚠️ Bulgaria-Slovakia deadlock</t>
  </si>
  <si>
    <t xml:space="preserve">Wolf Theiss 2024 / Pharm Tech CEE / GlobalData IRP 2024 / Generic Med Review 2025</t>
  </si>
  <si>
    <t xml:space="preserve">G2N VALIDATION — Gross-to-Net Estimates (37 countries)</t>
  </si>
  <si>
    <t xml:space="preserve">Net price as % of list price. Formulas compute rebate amount given list_price input. Modify "List Price" column to test scenarios. List references Country Validation sheet.</t>
  </si>
  <si>
    <t xml:space="preserve">List Price (USD)</t>
  </si>
  <si>
    <t xml:space="preserve">G2N — With Competition</t>
  </si>
  <si>
    <t xml:space="preserve">G2N — Without Competition</t>
  </si>
  <si>
    <t xml:space="preserve">Net Price — With Comp.</t>
  </si>
  <si>
    <t xml:space="preserve">Net Price — Without Comp.</t>
  </si>
  <si>
    <t xml:space="preserve">Range Low</t>
  </si>
  <si>
    <t xml:space="preserve">Range High</t>
  </si>
  <si>
    <t xml:space="preserve">Confidence</t>
  </si>
  <si>
    <t xml:space="preserve">Mechanisms</t>
  </si>
  <si>
    <t xml:space="preserve">Notes</t>
  </si>
  <si>
    <t xml:space="preserve">Expert Update / Comments</t>
  </si>
  <si>
    <t xml:space="preserve">HIGH</t>
  </si>
  <si>
    <t xml:space="preserve">PBM rebates 30-50%, 340B mandatory, Medicaid 23.1% statutory min, IRA negotiated price (MFP), commercial market access</t>
  </si>
  <si>
    <t xml:space="preserve">Most complex G2N stack globally. IRA Maximum Fair Price for selected drugs from 2026</t>
  </si>
  <si>
    <t xml:space="preserve">pCPA confidential negotiations (pan-Canadian Pharmaceutical Alliance)</t>
  </si>
  <si>
    <t xml:space="preserve">PMPRB MIP→HIP transition Jan 2026 affects dynamics</t>
  </si>
  <si>
    <t xml:space="preserve">MEDIUM</t>
  </si>
  <si>
    <t xml:space="preserve">UNOPS pooled procurement = competitive bidding → significant discounts</t>
  </si>
  <si>
    <t xml:space="preserve">Public sector typically 20-35% below private list</t>
  </si>
  <si>
    <t xml:space="preserve">CMED price ceiling + private market discounts; CONITEC negotiations</t>
  </si>
  <si>
    <t xml:space="preserve">CMED Resolution 3/2025 (Apr 2026) tightens basket</t>
  </si>
  <si>
    <t xml:space="preserve">LOW</t>
  </si>
  <si>
    <t xml:space="preserve">No formal regulation; volatile due to peso</t>
  </si>
  <si>
    <t xml:space="preserve">High volatility. Excluded from BR basket 2026</t>
  </si>
  <si>
    <t xml:space="preserve">Group A direct control; Group B monitoring</t>
  </si>
  <si>
    <t xml:space="preserve">Circular 18/2024 IHH-based classification</t>
  </si>
  <si>
    <t xml:space="preserve">CENABAST tender + free private market</t>
  </si>
  <si>
    <t xml:space="preserve">Most market-driven LATAM</t>
  </si>
  <si>
    <t xml:space="preserve">NICE PAS (simple flat % discount, confidential) + VPAG industry-wide payback if NHS spend &gt; cap</t>
  </si>
  <si>
    <t xml:space="preserve">VPAG 2024 payback rate: 21.4%. NHS net capped industrywide</t>
  </si>
  <si>
    <t xml:space="preserve">CEPS confidential rebates avg 25% (170 drugs 2022) + clawback Lh/M + paybacks</t>
  </si>
  <si>
    <t xml:space="preserve">Net disclosure prohibited by Article L162-17-4 SS Code. Higher rebates for orphan drugs</t>
  </si>
  <si>
    <t xml:space="preserve">AMNOG negotiated rebates + Herstellerabschlag 7-12% + sickness fund individual contracts</t>
  </si>
  <si>
    <t xml:space="preserve">Medical Research Act Mar 2026: confidential pricing option = +9% rebate but list preserved. Pre-2026: ~10-18% rebate. Post-2026 confidential: 25-40%</t>
  </si>
  <si>
    <t xml:space="preserve">AIFA MEAs (outcome-based, payment-by-results, cost-sharing) + payback hospital ceiling 8.6% FSN + EoI discounts</t>
  </si>
  <si>
    <t xml:space="preserve">Net to Italian region typically &lt;&lt; official AIFA list. Per-region variation</t>
  </si>
  <si>
    <t xml:space="preserve">CIPM confidential discounts + autonomous community-level + VALTERMED (real-world data refunds)</t>
  </si>
  <si>
    <t xml:space="preserve">Highly opaque. Regional vs national price gap widespread</t>
  </si>
  <si>
    <t xml:space="preserve">"Lock" (sluis) procedure for high-cost drugs (secret price) + preferential pricing tendering outpatient</t>
  </si>
  <si>
    <t xml:space="preserve">Sluis applied to ~10-15 high-cost drugs/year</t>
  </si>
  <si>
    <t xml:space="preserve">BAG-negotiated rebates limited; APV+TQV mostly transparent</t>
  </si>
  <si>
    <t xml:space="preserve">Lower confidentiality than EU5</t>
  </si>
  <si>
    <t xml:space="preserve">Hauptverband confidential discounts</t>
  </si>
  <si>
    <t xml:space="preserve">Less aggressive than EU5</t>
  </si>
  <si>
    <t xml:space="preserve">Article 35bis "closed envelope" MEAs</t>
  </si>
  <si>
    <t xml:space="preserve">KCE 2024 MORSE: avg compensation rate 29% (2014) → 53.8% (2021). Most aggressive rebate regime in EU</t>
  </si>
  <si>
    <t xml:space="preserve">TLV value-based pricing; some confidential pricing for hospital drugs (NT-Council)</t>
  </si>
  <si>
    <t xml:space="preserve">NT-Council confidential agreements for ~30-40 drugs</t>
  </si>
  <si>
    <t xml:space="preserve">LIS (Norwegian Drug Procurement Cooperation) negotiates confidential net prices for hospital sector</t>
  </si>
  <si>
    <t xml:space="preserve">Specialist sector net often 20-30% below maximum PPP</t>
  </si>
  <si>
    <t xml:space="preserve">Amgros tender prices for hospital drugs typically 15-30% below list cap</t>
  </si>
  <si>
    <t xml:space="preserve">Hospital sector via Amgros centralized procurement</t>
  </si>
  <si>
    <t xml:space="preserve">IPHA Framework HSE rebate 9% (2025) on all sales + MEAs negotiated separately</t>
  </si>
  <si>
    <t xml:space="preserve">IPHA rebate: 5.5% (2021) → 9% (2025). MEAs add 5-15% more for high-cost</t>
  </si>
  <si>
    <t xml:space="preserve">RSS (Risk Share Schemes) confidential, mandatory PVAs with NFZ, volume-triggered rebates</t>
  </si>
  <si>
    <t xml:space="preserve">~14% avg price erosion since launch documented</t>
  </si>
  <si>
    <t xml:space="preserve">MEAs less common than Western EU but increasing for orphans</t>
  </si>
  <si>
    <t xml:space="preserve">~90% of German prices typically (highest in CEE)</t>
  </si>
  <si>
    <t xml:space="preserve">Public discount layer (~11% innovator yr1, 23% from yr2) on top of fixed EUR rate</t>
  </si>
  <si>
    <t xml:space="preserve">MEAs since 2016 (Alternative Reimbursement Process)</t>
  </si>
  <si>
    <t xml:space="preserve">Risk-sharing for high-cost orphans; tender procurement; CL precedents post-2022</t>
  </si>
  <si>
    <t xml:space="preserve">Western drug market shrunk significantly post-2022</t>
  </si>
  <si>
    <t xml:space="preserve">Generally transparent + Price Maintenance Premium (PMP) for innovators</t>
  </si>
  <si>
    <t xml:space="preserve">FY24/26 reforms + biennial reductions</t>
  </si>
  <si>
    <t xml:space="preserve">NHIS/HIRA RSAs since 2014, increasingly common for innovative drugs</t>
  </si>
  <si>
    <t xml:space="preserve">4-tier RSA structure (financial, conditional, performance, mixed)</t>
  </si>
  <si>
    <t xml:space="preserve">NRDL annual negotiation = avg 50-65% cut from initial price</t>
  </si>
  <si>
    <t xml:space="preserve">Category C 2025 retains some flexibility for innovative drugs</t>
  </si>
  <si>
    <t xml:space="preserve">DPCO ceiling for scheduled drugs; less rebate use for branded</t>
  </si>
  <si>
    <t xml:space="preserve">Low rebate culture vs other emerging markets</t>
  </si>
  <si>
    <t xml:space="preserve">PBS confidential rebates + special pricing arrangements</t>
  </si>
  <si>
    <t xml:space="preserve">BPJS-K e-Catalogue tender = competitive discounts</t>
  </si>
  <si>
    <t xml:space="preserve">Public tender prices typically very low</t>
  </si>
  <si>
    <t xml:space="preserve">GPO negotiation + HITAP HTA threshold-driven</t>
  </si>
  <si>
    <t xml:space="preserve">CL precedents for HIV/cancer historically</t>
  </si>
  <si>
    <t xml:space="preserve">MoH hedging arrangements during basket inclusion negotiations</t>
  </si>
  <si>
    <t xml:space="preserve">Limited rebate culture; primarily transparent IRP-based</t>
  </si>
  <si>
    <t xml:space="preserve">NUPCO procurement adds tender discounts in public sector</t>
  </si>
  <si>
    <t xml:space="preserve">Largely transparent pricing; emirate-level variations</t>
  </si>
  <si>
    <t xml:space="preserve">Federal Decree-Law 38/2024 introducing new pathways</t>
  </si>
  <si>
    <t xml:space="preserve">Limited confidential pricing infrastructure</t>
  </si>
  <si>
    <t xml:space="preserve">EGP devaluation creates additional disconnect</t>
  </si>
  <si>
    <t xml:space="preserve">Single Exit Price (SEP) regulated; private hospital tendering</t>
  </si>
  <si>
    <t xml:space="preserve">NHI Act 2024 may change dynamics</t>
  </si>
  <si>
    <t xml:space="preserve">Mandatory rebate 9% on factory price + 2-21% volume-based + clawback (HIGHEST in EU)</t>
  </si>
  <si>
    <t xml:space="preserve">⚠️ Hospital clawback &gt;75% in 2024 (PIF). EOPYY 62.7%. Total ~47% of sales. Innovative therapies 79.8%</t>
  </si>
  <si>
    <t xml:space="preserve">INFARMED CRR (Reimbursement Contracts) for innovative drugs + hospital tender discounts + ANF margins</t>
  </si>
  <si>
    <t xml:space="preserve">CRR contracts confidential. Hospital sector pricing 15-25% below outpatient</t>
  </si>
  <si>
    <t xml:space="preserve">PVAs (volume contracts) + MEAs widespread + 20% special tax on pharma + clawback</t>
  </si>
  <si>
    <t xml:space="preserve">NEAK negotiates aggressively. 4-tier RSA structure for innovative drugs</t>
  </si>
  <si>
    <t xml:space="preserve">Severe clawback (often &gt;25% during budget crises) + cost-volume agreements + RSAs</t>
  </si>
  <si>
    <t xml:space="preserve">⚠️ Highly volatile clawback. Many drugs withdrawn from market when economics break. EUR→RON FX adds pressure</t>
  </si>
  <si>
    <t xml:space="preserve">Conditional reimbursement (24-mo cap) + risk-sharing for orphans + mandatory generic discounts</t>
  </si>
  <si>
    <t xml:space="preserve">~87% of European avg list price. RSAs increasingly used</t>
  </si>
  <si>
    <t xml:space="preserve">PVAs + clawback + mandatory rebates for reimbursed drugs</t>
  </si>
  <si>
    <t xml:space="preserve">⚠️ Bulgaria-Slovakia pricing deadlock from mutual referencing. Lowest in CEE pricing tier</t>
  </si>
  <si>
    <t xml:space="preserve">AGGREGATE STATS</t>
  </si>
  <si>
    <t xml:space="preserve">Total list revenue (sum):</t>
  </si>
  <si>
    <t xml:space="preserve">Total net revenue with competition:</t>
  </si>
  <si>
    <t xml:space="preserve">Total rebate burden (with comp):</t>
  </si>
  <si>
    <t xml:space="preserve">Realization rate (with comp):</t>
  </si>
  <si>
    <t xml:space="preserve">Methodology:</t>
  </si>
  <si>
    <t xml:space="preserve">Net price = List price × G2N factor. Toggle "With Competition" to model competitive vs first-in-class scenarios.</t>
  </si>
  <si>
    <t xml:space="preserve">Confidence — HIGH: payer interviews + statutory data | MEDIUM: industry consensus | LOW: limited public data</t>
  </si>
  <si>
    <t xml:space="preserve">CASCADE HOTSPOTS — Most-Referenced Countries</t>
  </si>
  <si>
    <t xml:space="preserve">Countries most likely to trigger downstream cascade when their price changes. Pricing decisions in these markets propagate to 10-25+ dependent markets.</t>
  </si>
  <si>
    <t xml:space="preserve">Rank</t>
  </si>
  <si>
    <t xml:space="preserve">Country</t>
  </si>
  <si>
    <t xml:space="preserve"># Countries Referencing</t>
  </si>
  <si>
    <t xml:space="preserve">Cascade Impact</t>
  </si>
  <si>
    <t xml:space="preserve">Strategic Notes</t>
  </si>
  <si>
    <t xml:space="preserve">~25+</t>
  </si>
  <si>
    <t xml:space="preserve">CRITICAL</t>
  </si>
  <si>
    <t xml:space="preserve">In EU baskets, GCC, MENA. Medical Research Act Mar 2026 confidential option creates new dynamics</t>
  </si>
  <si>
    <t xml:space="preserve">~20+</t>
  </si>
  <si>
    <t xml:space="preserve">In most EU baskets + GCC. Brexit may complicate. VPAG net prices confidential</t>
  </si>
  <si>
    <t xml:space="preserve">In most EU baskets + GCC. CEPS confidentiality criminalized</t>
  </si>
  <si>
    <t xml:space="preserve">~15+</t>
  </si>
  <si>
    <t xml:space="preserve">In Spain, Greece, Turkey, Egypt baskets. ⚠️ Italy = highest impact on Turkey pricing of all reference countries (4633 products analysis)</t>
  </si>
  <si>
    <t xml:space="preserve">~12+</t>
  </si>
  <si>
    <t xml:space="preserve">In Italy, Portugal, Egypt, Romania, Bulgaria baskets</t>
  </si>
  <si>
    <t xml:space="preserve">~11+</t>
  </si>
  <si>
    <t xml:space="preserve">In Netherlands (since 2020), Norway, Egypt, Romania, Bulgaria baskets</t>
  </si>
  <si>
    <t xml:space="preserve">~7</t>
  </si>
  <si>
    <t xml:space="preserve">In Brazil (Apr 2026), KSA (2021 SFDA), UAE, Turkey, Russia, Ireland baskets — secondary cascade hub</t>
  </si>
  <si>
    <t xml:space="preserve">~10+</t>
  </si>
  <si>
    <t xml:space="preserve">In Norway, Switzerland, Egypt baskets</t>
  </si>
  <si>
    <t xml:space="preserve">~8+</t>
  </si>
  <si>
    <t xml:space="preserve">In Switzerland (since 2024), Norway, Egypt, Romania baskets</t>
  </si>
  <si>
    <t xml:space="preserve">~5</t>
  </si>
  <si>
    <t xml:space="preserve">In Turkey (KEY — 20% basket weight), Bulgaria, Romania, UAE, Russia baskets — HIGHEST clawback in EU</t>
  </si>
  <si>
    <t xml:space="preserve">In Norway, Denmark, Switzerland baskets</t>
  </si>
  <si>
    <t xml:space="preserve">LOW (high-priced)</t>
  </si>
  <si>
    <t xml:space="preserve">In Saudi Arabia, UAE, Egypt baskets</t>
  </si>
  <si>
    <t xml:space="preserve">REFORM TRACKER 2024-2026 — Key Regulatory Changes</t>
  </si>
  <si>
    <t xml:space="preserve">Documented reforms affecting pharma pricing globally. Verify the country still applies the documented rule.</t>
  </si>
  <si>
    <t xml:space="preserve">Reform Name</t>
  </si>
  <si>
    <t xml:space="preserve">Effective Date</t>
  </si>
  <si>
    <t xml:space="preserve">Type</t>
  </si>
  <si>
    <t xml:space="preserve">Impact Level</t>
  </si>
  <si>
    <t xml:space="preserve">Source</t>
  </si>
  <si>
    <t xml:space="preserve">Generous/Guard/Globe MFN models</t>
  </si>
  <si>
    <t xml:space="preserve">Phase-in 2026-2031</t>
  </si>
  <si>
    <t xml:space="preserve">New regulation</t>
  </si>
  <si>
    <t xml:space="preserve">3 proposed CMS rules introducing MFN-style pricing for Medicaid/Part D/Part B</t>
  </si>
  <si>
    <t xml:space="preserve">CMS Federal Register Vol. 90 No. 244, Dec 23, 2025</t>
  </si>
  <si>
    <t xml:space="preserve">PMPRB MIP→HIP transition</t>
  </si>
  <si>
    <t xml:space="preserve">Jan 2026</t>
  </si>
  <si>
    <t xml:space="preserve">Methodology change</t>
  </si>
  <si>
    <t xml:space="preserve">Highest International Price screening replaces Median International Price</t>
  </si>
  <si>
    <t xml:space="preserve">LFSS 2026 Article 88</t>
  </si>
  <si>
    <t xml:space="preserve">2026</t>
  </si>
  <si>
    <t xml:space="preserve">Basket extension</t>
  </si>
  <si>
    <t xml:space="preserve">May add JP/KR to ASMR I/II/III basket guarantee</t>
  </si>
  <si>
    <t xml:space="preserve">LFSS 2026</t>
  </si>
  <si>
    <t xml:space="preserve">Medical Research Act — confidential pricing</t>
  </si>
  <si>
    <t xml:space="preserve">Mar 2026</t>
  </si>
  <si>
    <t xml:space="preserve">New mechanism</t>
  </si>
  <si>
    <t xml:space="preserve">Manufacturers can opt-in to confidential pricing post-AMNOG: +9% additional rebate but list preserved</t>
  </si>
  <si>
    <t xml:space="preserve">Medical Research Act 2026</t>
  </si>
  <si>
    <t xml:space="preserve">AIFA CSE merger (CTS+CPR→CSE)</t>
  </si>
  <si>
    <t xml:space="preserve">Jan 30, 2024</t>
  </si>
  <si>
    <t xml:space="preserve">Restructuring</t>
  </si>
  <si>
    <t xml:space="preserve">Single 10-member CSE replaces old CTS and CPR — both technical assessment + pricing/reimbursement</t>
  </si>
  <si>
    <t xml:space="preserve">AIFA / Italian government</t>
  </si>
  <si>
    <t xml:space="preserve">Draft Law on Medicinal Products</t>
  </si>
  <si>
    <t xml:space="preserve">Apr 2025 (consultation)</t>
  </si>
  <si>
    <t xml:space="preserve">Major reform</t>
  </si>
  <si>
    <t xml:space="preserve">Will replace RDL 1/2015 — codifies HTA, modernizes IRP framework</t>
  </si>
  <si>
    <t xml:space="preserve">Spanish Ministry of Health</t>
  </si>
  <si>
    <t xml:space="preserve">Wgp basket update (Norway replaces Germany)</t>
  </si>
  <si>
    <t xml:space="preserve">Oct 2020</t>
  </si>
  <si>
    <t xml:space="preserve">Basket change</t>
  </si>
  <si>
    <t xml:space="preserve">Norway replaced Germany in Dutch basket — major signal of cross-cascade dynamics</t>
  </si>
  <si>
    <t xml:space="preserve">Government.nl</t>
  </si>
  <si>
    <t xml:space="preserve">Ex-factory FAP shift</t>
  </si>
  <si>
    <t xml:space="preserve">Jan 2024</t>
  </si>
  <si>
    <t xml:space="preserve">Price level change</t>
  </si>
  <si>
    <t xml:space="preserve">Switched from ex-pharmacy to ex-factory FAP — affects reference price calculations</t>
  </si>
  <si>
    <t xml:space="preserve">FY2026 spillover rule abolished</t>
  </si>
  <si>
    <t xml:space="preserve">Apr 2026</t>
  </si>
  <si>
    <t xml:space="preserve">Spillover from FPA reductions to other drugs eliminated; SPA-SSS up to -66.7% for blockbusters</t>
  </si>
  <si>
    <t xml:space="preserve">Chuikyo / MHLW</t>
  </si>
  <si>
    <t xml:space="preserve">DE post-AMNOG net price reference</t>
  </si>
  <si>
    <t xml:space="preserve">FY2026</t>
  </si>
  <si>
    <t xml:space="preserve">Reference change</t>
  </si>
  <si>
    <t xml:space="preserve">Germany now referenced at post-AMNOG net price, not list — major change</t>
  </si>
  <si>
    <t xml:space="preserve">Chuikyo</t>
  </si>
  <si>
    <t xml:space="preserve">A8 basket Canada addition</t>
  </si>
  <si>
    <t xml:space="preserve">2022</t>
  </si>
  <si>
    <t xml:space="preserve">Basket expansion</t>
  </si>
  <si>
    <t xml:space="preserve">Canada added to A8 basket</t>
  </si>
  <si>
    <t xml:space="preserve">HIRA</t>
  </si>
  <si>
    <t xml:space="preserve">NRDL Category C</t>
  </si>
  <si>
    <t xml:space="preserve">2025</t>
  </si>
  <si>
    <t xml:space="preserve">New tier</t>
  </si>
  <si>
    <t xml:space="preserve">Category C list for innovative high-cost drugs — retains some pricing flexibility</t>
  </si>
  <si>
    <t xml:space="preserve">Apr 29, 2026</t>
  </si>
  <si>
    <t xml:space="preserve">Major basket change</t>
  </si>
  <si>
    <t xml:space="preserve">Basket expanded 9→14 countries; Argentina + China explicitly excluded</t>
  </si>
  <si>
    <t xml:space="preserve">Circular 18/2024</t>
  </si>
  <si>
    <t xml:space="preserve">2024</t>
  </si>
  <si>
    <t xml:space="preserve">Methodology revision</t>
  </si>
  <si>
    <t xml:space="preserve">IHH-based market classification; Group A direct control; VBP reform pending</t>
  </si>
  <si>
    <t xml:space="preserve">SFDA Pricing Rules 2021</t>
  </si>
  <si>
    <t xml:space="preserve">Jan 2021</t>
  </si>
  <si>
    <t xml:space="preserve">Basket reduced 30→20; less IRP, more HTA; localization incentives; generic sequence pricing</t>
  </si>
  <si>
    <t xml:space="preserve">SFDA 1442 AH</t>
  </si>
  <si>
    <t xml:space="preserve">EUR rate +17% for 2026</t>
  </si>
  <si>
    <t xml:space="preserve">Feb 2026</t>
  </si>
  <si>
    <t xml:space="preserve">Exchange rate</t>
  </si>
  <si>
    <t xml:space="preserve">Fixed pharmaceutical EUR rate raised to 25.3346 TRY/EUR; new price thresholds 87.34/45.64 TRY</t>
  </si>
  <si>
    <t xml:space="preserve">Turkish Presidential Decree Feb 2026</t>
  </si>
  <si>
    <t xml:space="preserve">Federal Decree-Law 38/2024</t>
  </si>
  <si>
    <t xml:space="preserve">Jan 2025</t>
  </si>
  <si>
    <t xml:space="preserve">Accelerated approval for innovative drugs; biosimilars regulatory pathway</t>
  </si>
  <si>
    <t xml:space="preserve">UAE Federal Government</t>
  </si>
  <si>
    <t xml:space="preserve">New IPHA Framework Agreement</t>
  </si>
  <si>
    <t xml:space="preserve">Renewal</t>
  </si>
  <si>
    <t xml:space="preserve">Replaces 2021-2025 agreement; structural reforms for 180-day timeline compliance</t>
  </si>
  <si>
    <t xml:space="preserve">IPHA / Department of Health</t>
  </si>
  <si>
    <t xml:space="preserve">Hospital price-cap agreement 2025-2027</t>
  </si>
  <si>
    <t xml:space="preserve">Renewal + cuts</t>
  </si>
  <si>
    <t xml:space="preserve">−2.1% Jul 2025, −2.1% Feb 2026, −0.8% Feb 2027</t>
  </si>
  <si>
    <t xml:space="preserve">Lif / Ministry of Interior and Health</t>
  </si>
  <si>
    <t xml:space="preserve">Pharmaceutical Evaluation Board</t>
  </si>
  <si>
    <t xml:space="preserve">New body</t>
  </si>
  <si>
    <t xml:space="preserve">Active for HTA of high-priced/interface medicines</t>
  </si>
  <si>
    <t xml:space="preserve">KAKuG 2024</t>
  </si>
  <si>
    <t xml:space="preserve">Early &amp; Fast Equitable Access procedure</t>
  </si>
  <si>
    <t xml:space="preserve">New pathway</t>
  </si>
  <si>
    <t xml:space="preserve">Some therapies reimbursed before full EU authorization</t>
  </si>
  <si>
    <t xml:space="preserve">Belgian Federal Government</t>
  </si>
  <si>
    <t xml:space="preserve">Reimbursement Act 2023 amendments</t>
  </si>
  <si>
    <t xml:space="preserve">2024-2025</t>
  </si>
  <si>
    <t xml:space="preserve">Reform</t>
  </si>
  <si>
    <t xml:space="preserve">Streamlined pricing decisions, expanded RSS for innovative drugs</t>
  </si>
  <si>
    <t xml:space="preserve">Polish Government</t>
  </si>
  <si>
    <t xml:space="preserve">NoMA (DMP) restructuring</t>
  </si>
  <si>
    <t xml:space="preserve">Agency change</t>
  </si>
  <si>
    <t xml:space="preserve">Statens legemiddelverk now under DMP</t>
  </si>
  <si>
    <t xml:space="preserve">Norwegian Health Ministry</t>
  </si>
  <si>
    <t xml:space="preserve">NHI Act 2024</t>
  </si>
  <si>
    <t xml:space="preserve">National Health Insurance Act may change pricing dynamics significantly</t>
  </si>
  <si>
    <t xml:space="preserve">South African Government</t>
  </si>
  <si>
    <t xml:space="preserve">EU</t>
  </si>
  <si>
    <t xml:space="preserve">EU HTA Joint Clinical Assessment</t>
  </si>
  <si>
    <t xml:space="preserve">2025+</t>
  </si>
  <si>
    <t xml:space="preserve">EU regulation</t>
  </si>
  <si>
    <t xml:space="preserve">JCA from Jan 2025 for oncology; expanded coverage 2028</t>
  </si>
  <si>
    <t xml:space="preserve">EU Health Technology Assessment Regulation</t>
  </si>
  <si>
    <t xml:space="preserve">SOURCES BIBLIOGRAPHY — Full Reference List</t>
  </si>
  <si>
    <t xml:space="preserve">All sources cited in the validation document, with URLs (clickable when valid).</t>
  </si>
  <si>
    <t xml:space="preserve">Category</t>
  </si>
  <si>
    <t xml:space="preserve">Source Name</t>
  </si>
  <si>
    <t xml:space="preserve">URL</t>
  </si>
  <si>
    <t xml:space="preserve">Coverage</t>
  </si>
  <si>
    <t xml:space="preserve">Date</t>
  </si>
  <si>
    <t xml:space="preserve">US Models</t>
  </si>
  <si>
    <t xml:space="preserve">CMS Federal Register Vol. 90 No. 244 — Generous, Guard, Globe rules</t>
  </si>
  <si>
    <t xml:space="preserve">https://www.federalregister.gov/</t>
  </si>
  <si>
    <t xml:space="preserve">US (Generous/Guard/Globe)</t>
  </si>
  <si>
    <t xml:space="preserve">Dec 23, 2025</t>
  </si>
  <si>
    <t xml:space="preserve">IRP Cross-cutting</t>
  </si>
  <si>
    <t xml:space="preserve">GlobalData IRP 2024: A year in review</t>
  </si>
  <si>
    <t xml:space="preserve">https://www.pharmaceutical-technology.com/analyst-comment/international-reference-pricing-irp-2024/</t>
  </si>
  <si>
    <t xml:space="preserve">Global (75 markets)</t>
  </si>
  <si>
    <t xml:space="preserve">Mar 2025</t>
  </si>
  <si>
    <t xml:space="preserve">OECD — Sharing information on medicine prices across countries</t>
  </si>
  <si>
    <t xml:space="preserve">https://www.oecd.org/health/</t>
  </si>
  <si>
    <t xml:space="preserve">OECD</t>
  </si>
  <si>
    <t xml:space="preserve">Sep 2024</t>
  </si>
  <si>
    <t xml:space="preserve">Kanavos et al. (2017) LSE — External Reference Pricing within and across Country Borders</t>
  </si>
  <si>
    <t xml:space="preserve">https://www.lse.ac.uk/business/consulting/</t>
  </si>
  <si>
    <t xml:space="preserve">Global (multi-country)</t>
  </si>
  <si>
    <t xml:space="preserve">2017</t>
  </si>
  <si>
    <t xml:space="preserve">EURIPID Guidance Document on External Reference Pricing (updated 2025)</t>
  </si>
  <si>
    <t xml:space="preserve">https://www.euripid.eu/</t>
  </si>
  <si>
    <t xml:space="preserve">Dec 2025</t>
  </si>
  <si>
    <t xml:space="preserve">Confidential Rebates</t>
  </si>
  <si>
    <t xml:space="preserve">INBEEO 2024 — List to Net Price Dynamics in EU4 and US</t>
  </si>
  <si>
    <t xml:space="preserve">https://inbeeo.com/2024/04/02/net-price-dynamics-in-eu4-and-us/</t>
  </si>
  <si>
    <t xml:space="preserve">EU4 + US (orphan drugs)</t>
  </si>
  <si>
    <t xml:space="preserve">Farseer / Sandberg — 27 Markets, 1 Migraine: EU Pharma Tax Regulations</t>
  </si>
  <si>
    <t xml:space="preserve">https://www.farseer.com/blog/eu-pharma-tax-regulations/</t>
  </si>
  <si>
    <t xml:space="preserve">EURIPID — Medicine price transparency and confidential MEAs in Europe</t>
  </si>
  <si>
    <t xml:space="preserve">https://pubmed.ncbi.nlm.nih.gov/34253396/</t>
  </si>
  <si>
    <t xml:space="preserve">EU (22 countries)</t>
  </si>
  <si>
    <t xml:space="preserve">2021</t>
  </si>
  <si>
    <t xml:space="preserve">Vogler S. et al. (2012) — Discounts and rebates granted to public payers in European countries</t>
  </si>
  <si>
    <t xml:space="preserve">https://www.ncbi.nlm.nih.gov/pmc/articles/PMC3471187/</t>
  </si>
  <si>
    <t xml:space="preserve">EU (31 countries)</t>
  </si>
  <si>
    <t xml:space="preserve">2012</t>
  </si>
  <si>
    <t xml:space="preserve">Morgan, Vogler, Wagner (2017) — Payers experiences with confidential pharmaceutical price discounts</t>
  </si>
  <si>
    <t xml:space="preserve">https://www.sciencedirect.com/</t>
  </si>
  <si>
    <t xml:space="preserve">Country: Canada</t>
  </si>
  <si>
    <t xml:space="preserve">PMPRB Annual Report 2024 + new Guidelines Jan 2026 (HIP screening)</t>
  </si>
  <si>
    <t xml:space="preserve">https://www.canada.ca/en/patented-medicine-prices-review.html</t>
  </si>
  <si>
    <t xml:space="preserve">2024-2026</t>
  </si>
  <si>
    <t xml:space="preserve">Country: France</t>
  </si>
  <si>
    <t xml:space="preserve">Simon-Kucher P&amp;MA briefs France</t>
  </si>
  <si>
    <t xml:space="preserve">https://www.simon-kucher.com/</t>
  </si>
  <si>
    <t xml:space="preserve">https://www.legifrance.gouv.fr/</t>
  </si>
  <si>
    <t xml:space="preserve">Country: Germany</t>
  </si>
  <si>
    <t xml:space="preserve">JStindt — 2024 List and Net Pricing Strategies EU-5</t>
  </si>
  <si>
    <t xml:space="preserve">https://jstindt.com/2024-new-eu5-pricing-strategies/</t>
  </si>
  <si>
    <t xml:space="preserve">DE (+EU5)</t>
  </si>
  <si>
    <t xml:space="preserve">Country: Italy</t>
  </si>
  <si>
    <t xml:space="preserve">Global Legal Insights Italy P&amp;R Laws 2025</t>
  </si>
  <si>
    <t xml:space="preserve">https://www.globallegalinsights.com/</t>
  </si>
  <si>
    <t xml:space="preserve">Certara — AIFA Makeover 2024</t>
  </si>
  <si>
    <t xml:space="preserve">https://www.certara.com/blog/aifa-makeover-italys-leap-into-2024/</t>
  </si>
  <si>
    <t xml:space="preserve">May 2025</t>
  </si>
  <si>
    <t xml:space="preserve">Trinity Life Sciences — Italy 2024 AIFA Restructuring</t>
  </si>
  <si>
    <t xml:space="preserve">https://trinitylifesciences.com/</t>
  </si>
  <si>
    <t xml:space="preserve">Oct 2025</t>
  </si>
  <si>
    <t xml:space="preserve">Country: Spain</t>
  </si>
  <si>
    <t xml:space="preserve">Global Legal Insights Spain P&amp;R Laws 2025</t>
  </si>
  <si>
    <t xml:space="preserve">Aug 2025</t>
  </si>
  <si>
    <t xml:space="preserve">Remap Consulting — Spain New Pharmaceutical Access Reform</t>
  </si>
  <si>
    <t xml:space="preserve">https://remapconsulting.com/</t>
  </si>
  <si>
    <t xml:space="preserve">Oct 2024</t>
  </si>
  <si>
    <t xml:space="preserve">Country: Switzerland</t>
  </si>
  <si>
    <t xml:space="preserve">BAG / FOPH — APV+TQV methodology</t>
  </si>
  <si>
    <t xml:space="preserve">https://www.bag.admin.ch/</t>
  </si>
  <si>
    <t xml:space="preserve">PwC Switzerland 2024 Pharma Update</t>
  </si>
  <si>
    <t xml:space="preserve">https://www.pwc.ch/</t>
  </si>
  <si>
    <t xml:space="preserve">Country: Japan</t>
  </si>
  <si>
    <t xml:space="preserve">https://www.mhlw.go.jp/english/</t>
  </si>
  <si>
    <t xml:space="preserve">Country: Korea</t>
  </si>
  <si>
    <t xml:space="preserve">HIRA / Frontiers 2024 — A8 basket</t>
  </si>
  <si>
    <t xml:space="preserve">https://www.hira.or.kr/eng/</t>
  </si>
  <si>
    <t xml:space="preserve">Country: Brazil</t>
  </si>
  <si>
    <t xml:space="preserve">CMED Resolution 3/2025 — basket expansion</t>
  </si>
  <si>
    <t xml:space="preserve">https://www.gov.br/anvisa/pt-br/assuntos/medicamentos/cmed</t>
  </si>
  <si>
    <t xml:space="preserve">Country: Norway</t>
  </si>
  <si>
    <t xml:space="preserve">NoMA (Norwegian Medical Products Agency) — Maximum Price</t>
  </si>
  <si>
    <t xml:space="preserve">https://www.dmp.no/en/public-funding-and-pricing/pricing-of-medicines/maximum-price</t>
  </si>
  <si>
    <t xml:space="preserve">Current</t>
  </si>
  <si>
    <t xml:space="preserve">Country: Denmark</t>
  </si>
  <si>
    <t xml:space="preserve">Lif — Price-cap agreement hospital medicines 2025-2027</t>
  </si>
  <si>
    <t xml:space="preserve">https://www.lif.dk/</t>
  </si>
  <si>
    <t xml:space="preserve">Country: Ireland</t>
  </si>
  <si>
    <t xml:space="preserve">IPHA — 2021 Framework Agreement + 2026 renegotiation</t>
  </si>
  <si>
    <t xml:space="preserve">https://www.ipha.ie/</t>
  </si>
  <si>
    <t xml:space="preserve">2021-2026</t>
  </si>
  <si>
    <t xml:space="preserve">Country: Israel</t>
  </si>
  <si>
    <t xml:space="preserve">Pharma-Israel.org — Regulation page</t>
  </si>
  <si>
    <t xml:space="preserve">https://www.pharma-israel.org.il/</t>
  </si>
  <si>
    <t xml:space="preserve">Country: Saudi Arabia</t>
  </si>
  <si>
    <t xml:space="preserve">PharmaKnowl — SFDA Drug Pricing Rules</t>
  </si>
  <si>
    <t xml:space="preserve">https://pharmaknowl.com/sfda-drug-pricing-regulation-guideline/</t>
  </si>
  <si>
    <t xml:space="preserve">EVERSANA — SFDA New Pricing Guidelines</t>
  </si>
  <si>
    <t xml:space="preserve">https://www.eversana.com/</t>
  </si>
  <si>
    <t xml:space="preserve">Country: Turkey</t>
  </si>
  <si>
    <t xml:space="preserve">Turkish Presidential Decree Feb 2026 — EUR rate +17%</t>
  </si>
  <si>
    <t xml:space="preserve">GRATA — Pharmaceuticals Pricing in Türkiye</t>
  </si>
  <si>
    <t xml:space="preserve">https://gratanet.com/publications/pharmaceuticals-pricing-in-turkiye</t>
  </si>
  <si>
    <t xml:space="preserve">Jun 2024</t>
  </si>
  <si>
    <t xml:space="preserve">Country: Belgium</t>
  </si>
  <si>
    <t xml:space="preserve">KCE — Performance of the Belgian health system 2024 (MORSE Report)</t>
  </si>
  <si>
    <t xml:space="preserve">https://kce.fgov.be/</t>
  </si>
  <si>
    <t xml:space="preserve">Country: Mexico</t>
  </si>
  <si>
    <t xml:space="preserve">Pharmaboardroom Mexico 2025</t>
  </si>
  <si>
    <t xml:space="preserve">https://pharmaboardroom.com/</t>
  </si>
  <si>
    <t xml:space="preserve">Feb 2025</t>
  </si>
  <si>
    <t xml:space="preserve">Country: Colombia</t>
  </si>
  <si>
    <t xml:space="preserve">OlarteMoure — Circular 18/2024</t>
  </si>
  <si>
    <t xml:space="preserve">https://olartemoure.com/en/control-of-medicine-prices/</t>
  </si>
  <si>
    <t xml:space="preserve">Country: South Africa</t>
  </si>
  <si>
    <t xml:space="preserve">SAHPRA — 12 February 2025 fee regulations</t>
  </si>
  <si>
    <t xml:space="preserve">https://www.sahpra.org.za/</t>
  </si>
  <si>
    <t xml:space="preserve">CHANGE LOG — Version History &amp; Expert Reviews</t>
  </si>
  <si>
    <t xml:space="preserve">Track all modifications to this document. Experts should sign off here after their review.</t>
  </si>
  <si>
    <t xml:space="preserve">Reviewer Name</t>
  </si>
  <si>
    <t xml:space="preserve">Role</t>
  </si>
  <si>
    <t xml:space="preserve">Country/Sheet</t>
  </si>
  <si>
    <t xml:space="preserve">Change Description</t>
  </si>
  <si>
    <t xml:space="preserve">New Sources Added</t>
  </si>
  <si>
    <t xml:space="preserve">2026-05-03</t>
  </si>
  <si>
    <t xml:space="preserve">PharmaPricingTool</t>
  </si>
  <si>
    <t xml:space="preserve">Initial template generation</t>
  </si>
  <si>
    <t xml:space="preserve">All sheets</t>
  </si>
  <si>
    <t xml:space="preserve">Initial v1.0 template created from JSX + MD reference doc — 36 countries (US + 35 country fiches), all VERIFIED, ready for expert validation</t>
  </si>
  <si>
    <t xml:space="preserve">See Sources Bibliography sheet</t>
  </si>
  <si>
    <t xml:space="preserve">v1.1 — EU Southern/Eastern expansion</t>
  </si>
  <si>
    <t xml:space="preserve">Country Validation + G2N + Cascade Hotspots</t>
  </si>
  <si>
    <t xml:space="preserve">Added 6 EU cascade-relevant countries: GR (highest clawback in EU), PT (cascade to BR/SA/UAE/TR), HU (broadest EU basket), RO (CANAMED 12-country), SK (BG-SK deadlock), BG (BG-SK deadlock). Total: 42 countries</t>
  </si>
  <si>
    <t xml:space="preserve">Greek PIF 2025, Wolf Theiss 2024, Baker McKenzie 2024-2025, INFARMED, NEAK, CANAMED, Generic Medicines Review 2025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</si>
</sst>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B2D"/>
      <name val="Arial"/>
      <family val="0"/>
      <charset val="1"/>
    </font>
    <font>
      <i val="true"/>
      <sz val="12"/>
      <color rgb="FF505050"/>
      <name val="Arial"/>
      <family val="0"/>
      <charset val="1"/>
    </font>
    <font>
      <sz val="9"/>
      <color rgb="FF505050"/>
      <name val="Arial"/>
      <family val="0"/>
      <charset val="1"/>
    </font>
    <font>
      <b val="true"/>
      <sz val="12"/>
      <color rgb="FF0F1B2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F1B2D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D4A57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4E6D2"/>
        <bgColor rgb="FFFFE0E0"/>
      </patternFill>
    </fill>
    <fill>
      <patternFill patternType="solid">
        <fgColor rgb="FFFFF3CD"/>
        <bgColor rgb="FFFFFDE7"/>
      </patternFill>
    </fill>
    <fill>
      <patternFill patternType="solid">
        <fgColor rgb="FFD4EDDA"/>
        <bgColor rgb="FFF4E6D2"/>
      </patternFill>
    </fill>
    <fill>
      <patternFill patternType="solid">
        <fgColor rgb="FFF8D7DA"/>
        <bgColor rgb="FFFFE0E0"/>
      </patternFill>
    </fill>
    <fill>
      <patternFill patternType="solid">
        <fgColor rgb="FF0F1B2D"/>
        <bgColor rgb="FF000000"/>
      </patternFill>
    </fill>
    <fill>
      <patternFill patternType="solid">
        <fgColor rgb="FFFFFDE7"/>
        <bgColor rgb="FFFFFFFF"/>
      </patternFill>
    </fill>
    <fill>
      <patternFill patternType="solid">
        <fgColor rgb="FFFFE0E0"/>
        <bgColor rgb="FFF8D7DA"/>
      </patternFill>
    </fill>
    <fill>
      <patternFill patternType="solid">
        <fgColor rgb="FFFFE4B5"/>
        <bgColor rgb="FFF4E6D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1B2D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F1B2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4E6D2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E4B5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4E6D2"/>
      <rgbColor rgb="FF660066"/>
      <rgbColor rgb="FFD4A574"/>
      <rgbColor rgb="FF0563C1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0E0"/>
      <rgbColor rgb="FFD4EDDA"/>
      <rgbColor rgb="FFFFF3CD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B2D"/>
      <rgbColor rgb="FF333300"/>
      <rgbColor rgb="FFB45309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federalregister.gov/" TargetMode="External"/><Relationship Id="rId2" Type="http://schemas.openxmlformats.org/officeDocument/2006/relationships/hyperlink" Target="https://www.pharmaceutical-technology.com/analyst-comment/international-reference-pricing-irp-2024/" TargetMode="External"/><Relationship Id="rId3" Type="http://schemas.openxmlformats.org/officeDocument/2006/relationships/hyperlink" Target="https://www.oecd.org/health/" TargetMode="External"/><Relationship Id="rId4" Type="http://schemas.openxmlformats.org/officeDocument/2006/relationships/hyperlink" Target="https://www.lse.ac.uk/business/consulting/" TargetMode="External"/><Relationship Id="rId5" Type="http://schemas.openxmlformats.org/officeDocument/2006/relationships/hyperlink" Target="https://www.euripid.eu/" TargetMode="External"/><Relationship Id="rId6" Type="http://schemas.openxmlformats.org/officeDocument/2006/relationships/hyperlink" Target="https://inbeeo.com/2024/04/02/net-price-dynamics-in-eu4-and-us/" TargetMode="External"/><Relationship Id="rId7" Type="http://schemas.openxmlformats.org/officeDocument/2006/relationships/hyperlink" Target="https://www.farseer.com/blog/eu-pharma-tax-regulations/" TargetMode="External"/><Relationship Id="rId8" Type="http://schemas.openxmlformats.org/officeDocument/2006/relationships/hyperlink" Target="https://pubmed.ncbi.nlm.nih.gov/34253396/" TargetMode="External"/><Relationship Id="rId9" Type="http://schemas.openxmlformats.org/officeDocument/2006/relationships/hyperlink" Target="https://www.ncbi.nlm.nih.gov/pmc/articles/PMC3471187/" TargetMode="External"/><Relationship Id="rId10" Type="http://schemas.openxmlformats.org/officeDocument/2006/relationships/hyperlink" Target="https://www.sciencedirect.com/" TargetMode="External"/><Relationship Id="rId11" Type="http://schemas.openxmlformats.org/officeDocument/2006/relationships/hyperlink" Target="https://www.canada.ca/en/patented-medicine-prices-review.html" TargetMode="External"/><Relationship Id="rId12" Type="http://schemas.openxmlformats.org/officeDocument/2006/relationships/hyperlink" Target="https://www.simon-kucher.com/" TargetMode="External"/><Relationship Id="rId13" Type="http://schemas.openxmlformats.org/officeDocument/2006/relationships/hyperlink" Target="https://www.legifrance.gouv.fr/" TargetMode="External"/><Relationship Id="rId14" Type="http://schemas.openxmlformats.org/officeDocument/2006/relationships/hyperlink" Target="https://jstindt.com/2024-new-eu5-pricing-strategies/" TargetMode="External"/><Relationship Id="rId15" Type="http://schemas.openxmlformats.org/officeDocument/2006/relationships/hyperlink" Target="https://www.globallegalinsights.com/" TargetMode="External"/><Relationship Id="rId16" Type="http://schemas.openxmlformats.org/officeDocument/2006/relationships/hyperlink" Target="https://www.certara.com/blog/aifa-makeover-italys-leap-into-2024/" TargetMode="External"/><Relationship Id="rId17" Type="http://schemas.openxmlformats.org/officeDocument/2006/relationships/hyperlink" Target="https://trinitylifesciences.com/" TargetMode="External"/><Relationship Id="rId18" Type="http://schemas.openxmlformats.org/officeDocument/2006/relationships/hyperlink" Target="https://www.globallegalinsights.com/" TargetMode="External"/><Relationship Id="rId19" Type="http://schemas.openxmlformats.org/officeDocument/2006/relationships/hyperlink" Target="https://remapconsulting.com/" TargetMode="External"/><Relationship Id="rId20" Type="http://schemas.openxmlformats.org/officeDocument/2006/relationships/hyperlink" Target="https://www.bag.admin.ch/" TargetMode="External"/><Relationship Id="rId21" Type="http://schemas.openxmlformats.org/officeDocument/2006/relationships/hyperlink" Target="https://www.pwc.ch/" TargetMode="External"/><Relationship Id="rId22" Type="http://schemas.openxmlformats.org/officeDocument/2006/relationships/hyperlink" Target="https://www.mhlw.go.jp/english/" TargetMode="External"/><Relationship Id="rId23" Type="http://schemas.openxmlformats.org/officeDocument/2006/relationships/hyperlink" Target="https://www.hira.or.kr/eng/" TargetMode="External"/><Relationship Id="rId24" Type="http://schemas.openxmlformats.org/officeDocument/2006/relationships/hyperlink" Target="https://www.gov.br/anvisa/pt-br/assuntos/medicamentos/cmed" TargetMode="External"/><Relationship Id="rId25" Type="http://schemas.openxmlformats.org/officeDocument/2006/relationships/hyperlink" Target="https://www.dmp.no/en/public-funding-and-pricing/pricing-of-medicines/maximum-price" TargetMode="External"/><Relationship Id="rId26" Type="http://schemas.openxmlformats.org/officeDocument/2006/relationships/hyperlink" Target="https://www.lif.dk/" TargetMode="External"/><Relationship Id="rId27" Type="http://schemas.openxmlformats.org/officeDocument/2006/relationships/hyperlink" Target="https://www.ipha.ie/" TargetMode="External"/><Relationship Id="rId28" Type="http://schemas.openxmlformats.org/officeDocument/2006/relationships/hyperlink" Target="https://www.pharma-israel.org.il/" TargetMode="External"/><Relationship Id="rId29" Type="http://schemas.openxmlformats.org/officeDocument/2006/relationships/hyperlink" Target="https://pharmaknowl.com/sfda-drug-pricing-regulation-guideline/" TargetMode="External"/><Relationship Id="rId30" Type="http://schemas.openxmlformats.org/officeDocument/2006/relationships/hyperlink" Target="https://www.eversana.com/" TargetMode="External"/><Relationship Id="rId31" Type="http://schemas.openxmlformats.org/officeDocument/2006/relationships/hyperlink" Target="https://gratanet.com/publications/pharmaceuticals-pricing-in-turkiye" TargetMode="External"/><Relationship Id="rId32" Type="http://schemas.openxmlformats.org/officeDocument/2006/relationships/hyperlink" Target="https://kce.fgov.be/" TargetMode="External"/><Relationship Id="rId33" Type="http://schemas.openxmlformats.org/officeDocument/2006/relationships/hyperlink" Target="https://pharmaboardroom.com/" TargetMode="External"/><Relationship Id="rId34" Type="http://schemas.openxmlformats.org/officeDocument/2006/relationships/hyperlink" Target="https://olartemoure.com/en/control-of-medicine-prices/" TargetMode="External"/><Relationship Id="rId35" Type="http://schemas.openxmlformats.org/officeDocument/2006/relationships/hyperlink" Target="https://www.sahpra.org.za/" TargetMode="External"/><Relationship Id="rId36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0"/>
    <col collapsed="false" customWidth="true" hidden="false" outlineLevel="0" max="4" min="4" style="0" width="8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49.5" hidden="false" customHeight="true" outlineLevel="0" collapsed="false">
      <c r="B7" s="5" t="s">
        <v>4</v>
      </c>
    </row>
    <row r="9" customFormat="false" ht="15" hidden="false" customHeight="false" outlineLevel="0" collapsed="false">
      <c r="B9" s="4" t="s">
        <v>5</v>
      </c>
    </row>
    <row r="11" customFormat="false" ht="15" hidden="false" customHeight="false" outlineLevel="0" collapsed="false">
      <c r="B11" s="6" t="s">
        <v>6</v>
      </c>
      <c r="C11" s="6" t="s">
        <v>7</v>
      </c>
      <c r="D11" s="6" t="s">
        <v>8</v>
      </c>
    </row>
    <row r="12" customFormat="false" ht="15" hidden="false" customHeight="false" outlineLevel="0" collapsed="false">
      <c r="B12" s="7" t="s">
        <v>9</v>
      </c>
      <c r="C12" s="8" t="s">
        <v>10</v>
      </c>
      <c r="D12" s="5" t="s">
        <v>11</v>
      </c>
    </row>
    <row r="13" customFormat="false" ht="15" hidden="false" customHeight="false" outlineLevel="0" collapsed="false">
      <c r="B13" s="7" t="s">
        <v>12</v>
      </c>
      <c r="C13" s="8" t="s">
        <v>13</v>
      </c>
      <c r="D13" s="5" t="s">
        <v>14</v>
      </c>
    </row>
    <row r="14" customFormat="false" ht="23.85" hidden="false" customHeight="false" outlineLevel="0" collapsed="false">
      <c r="B14" s="7" t="s">
        <v>15</v>
      </c>
      <c r="C14" s="8" t="s">
        <v>16</v>
      </c>
      <c r="D14" s="5" t="s">
        <v>17</v>
      </c>
    </row>
    <row r="15" customFormat="false" ht="15" hidden="false" customHeight="false" outlineLevel="0" collapsed="false">
      <c r="B15" s="7" t="s">
        <v>18</v>
      </c>
      <c r="C15" s="8" t="s">
        <v>19</v>
      </c>
      <c r="D15" s="5" t="s">
        <v>20</v>
      </c>
    </row>
    <row r="16" customFormat="false" ht="15" hidden="false" customHeight="false" outlineLevel="0" collapsed="false">
      <c r="B16" s="7" t="s">
        <v>21</v>
      </c>
      <c r="C16" s="8" t="s">
        <v>22</v>
      </c>
      <c r="D16" s="5" t="s">
        <v>23</v>
      </c>
    </row>
    <row r="17" customFormat="false" ht="15" hidden="false" customHeight="false" outlineLevel="0" collapsed="false">
      <c r="B17" s="7" t="s">
        <v>24</v>
      </c>
      <c r="C17" s="8" t="s">
        <v>25</v>
      </c>
      <c r="D17" s="5" t="s">
        <v>26</v>
      </c>
    </row>
    <row r="18" customFormat="false" ht="15" hidden="false" customHeight="false" outlineLevel="0" collapsed="false">
      <c r="B18" s="7" t="s">
        <v>27</v>
      </c>
      <c r="C18" s="8" t="s">
        <v>28</v>
      </c>
      <c r="D18" s="5" t="s">
        <v>29</v>
      </c>
    </row>
    <row r="20" customFormat="false" ht="15" hidden="false" customHeight="false" outlineLevel="0" collapsed="false">
      <c r="B20" s="4" t="s">
        <v>30</v>
      </c>
    </row>
    <row r="22" customFormat="false" ht="15" hidden="false" customHeight="false" outlineLevel="0" collapsed="false">
      <c r="B22" s="9" t="s">
        <v>31</v>
      </c>
      <c r="C22" s="5" t="s">
        <v>32</v>
      </c>
    </row>
    <row r="23" customFormat="false" ht="15" hidden="false" customHeight="false" outlineLevel="0" collapsed="false">
      <c r="B23" s="10" t="s">
        <v>33</v>
      </c>
      <c r="C23" s="5" t="s">
        <v>34</v>
      </c>
    </row>
    <row r="24" customFormat="false" ht="15" hidden="false" customHeight="false" outlineLevel="0" collapsed="false">
      <c r="B24" s="11" t="s">
        <v>35</v>
      </c>
      <c r="C24" s="5" t="s">
        <v>36</v>
      </c>
    </row>
    <row r="25" customFormat="false" ht="15" hidden="false" customHeight="false" outlineLevel="0" collapsed="false">
      <c r="B25" s="12" t="s">
        <v>37</v>
      </c>
      <c r="C25" s="5" t="s">
        <v>38</v>
      </c>
    </row>
    <row r="26" customFormat="false" ht="15" hidden="false" customHeight="false" outlineLevel="0" collapsed="false">
      <c r="B26" s="13" t="s">
        <v>39</v>
      </c>
      <c r="C26" s="5" t="s">
        <v>40</v>
      </c>
    </row>
    <row r="27" customFormat="false" ht="15" hidden="false" customHeight="false" outlineLevel="0" collapsed="false">
      <c r="B27" s="12" t="s">
        <v>41</v>
      </c>
      <c r="C27" s="5" t="s">
        <v>42</v>
      </c>
    </row>
    <row r="28" customFormat="false" ht="15" hidden="false" customHeight="false" outlineLevel="0" collapsed="false">
      <c r="B28" s="14" t="s">
        <v>43</v>
      </c>
      <c r="C28" s="5" t="s">
        <v>44</v>
      </c>
    </row>
    <row r="30" customFormat="false" ht="15" hidden="false" customHeight="false" outlineLevel="0" collapsed="false">
      <c r="B30" s="4" t="s">
        <v>45</v>
      </c>
    </row>
    <row r="32" customFormat="false" ht="15" hidden="false" customHeight="false" outlineLevel="0" collapsed="false">
      <c r="B32" s="15" t="s">
        <v>46</v>
      </c>
      <c r="C32" s="5" t="s">
        <v>47</v>
      </c>
    </row>
    <row r="33" customFormat="false" ht="15" hidden="false" customHeight="false" outlineLevel="0" collapsed="false">
      <c r="B33" s="15" t="s">
        <v>48</v>
      </c>
      <c r="C33" s="5" t="s">
        <v>49</v>
      </c>
    </row>
    <row r="34" customFormat="false" ht="15" hidden="false" customHeight="false" outlineLevel="0" collapsed="false">
      <c r="B34" s="15" t="s">
        <v>50</v>
      </c>
      <c r="C34" s="5" t="s">
        <v>51</v>
      </c>
    </row>
    <row r="35" customFormat="false" ht="15" hidden="false" customHeight="false" outlineLevel="0" collapsed="false">
      <c r="B35" s="15" t="s">
        <v>52</v>
      </c>
      <c r="C35" s="5" t="s">
        <v>53</v>
      </c>
    </row>
    <row r="36" customFormat="false" ht="15" hidden="false" customHeight="false" outlineLevel="0" collapsed="false">
      <c r="B36" s="15" t="s">
        <v>54</v>
      </c>
      <c r="C36" s="5" t="s">
        <v>55</v>
      </c>
    </row>
    <row r="37" customFormat="false" ht="15" hidden="false" customHeight="false" outlineLevel="0" collapsed="false">
      <c r="B37" s="15" t="s">
        <v>56</v>
      </c>
      <c r="C37" s="5" t="s">
        <v>57</v>
      </c>
    </row>
    <row r="38" customFormat="false" ht="15" hidden="false" customHeight="false" outlineLevel="0" collapsed="false">
      <c r="B38" s="15" t="s">
        <v>58</v>
      </c>
      <c r="C38" s="5" t="s">
        <v>59</v>
      </c>
    </row>
    <row r="40" customFormat="false" ht="15" hidden="false" customHeight="false" outlineLevel="0" collapsed="false">
      <c r="B40" s="4" t="s">
        <v>60</v>
      </c>
    </row>
    <row r="42" customFormat="false" ht="15" hidden="false" customHeight="false" outlineLevel="0" collapsed="false">
      <c r="B42" s="7" t="s">
        <v>61</v>
      </c>
      <c r="C42" s="5" t="s">
        <v>62</v>
      </c>
    </row>
    <row r="43" customFormat="false" ht="15" hidden="false" customHeight="false" outlineLevel="0" collapsed="false">
      <c r="B43" s="7" t="s">
        <v>61</v>
      </c>
      <c r="C43" s="5" t="s">
        <v>63</v>
      </c>
    </row>
    <row r="44" customFormat="false" ht="23.85" hidden="false" customHeight="false" outlineLevel="0" collapsed="false">
      <c r="B44" s="7" t="s">
        <v>61</v>
      </c>
      <c r="C44" s="5" t="s">
        <v>64</v>
      </c>
    </row>
    <row r="45" customFormat="false" ht="23.85" hidden="false" customHeight="false" outlineLevel="0" collapsed="false">
      <c r="B45" s="7" t="s">
        <v>61</v>
      </c>
      <c r="C45" s="5" t="s">
        <v>65</v>
      </c>
    </row>
    <row r="46" customFormat="false" ht="15" hidden="false" customHeight="false" outlineLevel="0" collapsed="false">
      <c r="B46" s="7" t="s">
        <v>61</v>
      </c>
      <c r="C46" s="5" t="s">
        <v>66</v>
      </c>
    </row>
    <row r="47" customFormat="false" ht="23.85" hidden="false" customHeight="false" outlineLevel="0" collapsed="false">
      <c r="B47" s="7" t="s">
        <v>61</v>
      </c>
      <c r="C47" s="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7" min="7" style="0" width="32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38"/>
    <col collapsed="false" customWidth="true" hidden="false" outlineLevel="0" max="12" min="12" style="0" width="11"/>
    <col collapsed="false" customWidth="true" hidden="false" outlineLevel="0" max="13" min="13" style="0" width="30"/>
    <col collapsed="false" customWidth="true" hidden="false" outlineLevel="0" max="14" min="14" style="0" width="16"/>
    <col collapsed="false" customWidth="true" hidden="false" outlineLevel="0" max="15" min="15" style="0" width="28"/>
    <col collapsed="false" customWidth="true" hidden="false" outlineLevel="0" max="16" min="16" style="0" width="32"/>
    <col collapsed="false" customWidth="true" hidden="false" outlineLevel="0" max="17" min="17" style="0" width="28"/>
    <col collapsed="false" customWidth="true" hidden="false" outlineLevel="0" max="18" min="18" style="0" width="14"/>
  </cols>
  <sheetData>
    <row r="1" customFormat="false" ht="19.7" hidden="false" customHeight="true" outlineLevel="0" collapsed="false">
      <c r="A1" s="16" t="s">
        <v>68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customFormat="false" ht="15" hidden="false" customHeight="true" outlineLevel="0" collapsed="false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4" customFormat="false" ht="39.55" hidden="false" customHeight="false" outlineLevel="0" collapsed="false">
      <c r="A4" s="18" t="s">
        <v>70</v>
      </c>
      <c r="B4" s="18" t="s">
        <v>7</v>
      </c>
      <c r="C4" s="18" t="s">
        <v>71</v>
      </c>
      <c r="D4" s="18" t="s">
        <v>72</v>
      </c>
      <c r="E4" s="18" t="s">
        <v>73</v>
      </c>
      <c r="F4" s="18" t="s">
        <v>74</v>
      </c>
      <c r="G4" s="18" t="s">
        <v>75</v>
      </c>
      <c r="H4" s="18" t="s">
        <v>76</v>
      </c>
      <c r="I4" s="18" t="s">
        <v>77</v>
      </c>
      <c r="J4" s="18" t="s">
        <v>78</v>
      </c>
      <c r="K4" s="18" t="s">
        <v>79</v>
      </c>
      <c r="L4" s="18" t="s">
        <v>80</v>
      </c>
      <c r="M4" s="18" t="s">
        <v>81</v>
      </c>
      <c r="N4" s="18" t="s">
        <v>82</v>
      </c>
      <c r="O4" s="18" t="s">
        <v>83</v>
      </c>
      <c r="P4" s="18" t="s">
        <v>84</v>
      </c>
      <c r="Q4" s="18" t="s">
        <v>85</v>
      </c>
      <c r="R4" s="18" t="s">
        <v>86</v>
      </c>
    </row>
    <row r="5" customFormat="false" ht="75" hidden="false" customHeight="true" outlineLevel="0" collapsed="false">
      <c r="A5" s="19" t="s">
        <v>87</v>
      </c>
      <c r="B5" s="19" t="s">
        <v>88</v>
      </c>
      <c r="C5" s="19" t="s">
        <v>89</v>
      </c>
      <c r="D5" s="20" t="s">
        <v>90</v>
      </c>
      <c r="E5" s="19" t="s">
        <v>91</v>
      </c>
      <c r="F5" s="20" t="s">
        <v>92</v>
      </c>
      <c r="G5" s="20" t="s">
        <v>93</v>
      </c>
      <c r="H5" s="19" t="s">
        <v>94</v>
      </c>
      <c r="I5" s="19" t="n">
        <v>0</v>
      </c>
      <c r="J5" s="19" t="s">
        <v>95</v>
      </c>
      <c r="K5" s="20" t="s">
        <v>96</v>
      </c>
      <c r="L5" s="21" t="s">
        <v>97</v>
      </c>
      <c r="M5" s="20" t="s">
        <v>98</v>
      </c>
      <c r="N5" s="22"/>
      <c r="O5" s="23"/>
      <c r="P5" s="23"/>
      <c r="Q5" s="23"/>
      <c r="R5" s="22"/>
    </row>
    <row r="6" customFormat="false" ht="75" hidden="false" customHeight="true" outlineLevel="0" collapsed="false">
      <c r="A6" s="19" t="s">
        <v>99</v>
      </c>
      <c r="B6" s="19" t="s">
        <v>100</v>
      </c>
      <c r="C6" s="19" t="s">
        <v>89</v>
      </c>
      <c r="D6" s="20" t="s">
        <v>101</v>
      </c>
      <c r="E6" s="19" t="s">
        <v>102</v>
      </c>
      <c r="F6" s="20" t="s">
        <v>103</v>
      </c>
      <c r="G6" s="20" t="s">
        <v>104</v>
      </c>
      <c r="H6" s="19" t="s">
        <v>105</v>
      </c>
      <c r="I6" s="19" t="n">
        <v>12</v>
      </c>
      <c r="J6" s="19" t="s">
        <v>95</v>
      </c>
      <c r="K6" s="20" t="s">
        <v>106</v>
      </c>
      <c r="L6" s="21" t="s">
        <v>97</v>
      </c>
      <c r="M6" s="20" t="s">
        <v>107</v>
      </c>
      <c r="N6" s="22"/>
      <c r="O6" s="23"/>
      <c r="P6" s="23"/>
      <c r="Q6" s="23"/>
      <c r="R6" s="22"/>
    </row>
    <row r="7" customFormat="false" ht="75" hidden="false" customHeight="true" outlineLevel="0" collapsed="false">
      <c r="A7" s="19" t="s">
        <v>108</v>
      </c>
      <c r="B7" s="19" t="s">
        <v>109</v>
      </c>
      <c r="C7" s="19" t="s">
        <v>89</v>
      </c>
      <c r="D7" s="20" t="s">
        <v>110</v>
      </c>
      <c r="E7" s="19" t="s">
        <v>111</v>
      </c>
      <c r="F7" s="20" t="s">
        <v>112</v>
      </c>
      <c r="G7" s="20" t="s">
        <v>113</v>
      </c>
      <c r="H7" s="19" t="s">
        <v>114</v>
      </c>
      <c r="I7" s="19" t="n">
        <v>0</v>
      </c>
      <c r="J7" s="19" t="s">
        <v>115</v>
      </c>
      <c r="K7" s="20" t="s">
        <v>116</v>
      </c>
      <c r="L7" s="21" t="s">
        <v>97</v>
      </c>
      <c r="M7" s="20" t="s">
        <v>117</v>
      </c>
      <c r="N7" s="22"/>
      <c r="O7" s="23"/>
      <c r="P7" s="23"/>
      <c r="Q7" s="23"/>
      <c r="R7" s="22"/>
    </row>
    <row r="8" customFormat="false" ht="75" hidden="false" customHeight="true" outlineLevel="0" collapsed="false">
      <c r="A8" s="19" t="s">
        <v>118</v>
      </c>
      <c r="B8" s="19" t="s">
        <v>119</v>
      </c>
      <c r="C8" s="19" t="s">
        <v>89</v>
      </c>
      <c r="D8" s="20" t="s">
        <v>120</v>
      </c>
      <c r="E8" s="19" t="s">
        <v>102</v>
      </c>
      <c r="F8" s="20" t="s">
        <v>121</v>
      </c>
      <c r="G8" s="20" t="s">
        <v>122</v>
      </c>
      <c r="H8" s="19" t="s">
        <v>123</v>
      </c>
      <c r="I8" s="19" t="n">
        <v>12</v>
      </c>
      <c r="J8" s="19" t="s">
        <v>95</v>
      </c>
      <c r="K8" s="20" t="s">
        <v>124</v>
      </c>
      <c r="L8" s="21" t="s">
        <v>97</v>
      </c>
      <c r="M8" s="20" t="s">
        <v>125</v>
      </c>
      <c r="N8" s="22"/>
      <c r="O8" s="23"/>
      <c r="P8" s="23"/>
      <c r="Q8" s="23"/>
      <c r="R8" s="22"/>
    </row>
    <row r="9" customFormat="false" ht="75" hidden="false" customHeight="true" outlineLevel="0" collapsed="false">
      <c r="A9" s="19" t="s">
        <v>126</v>
      </c>
      <c r="B9" s="19" t="s">
        <v>127</v>
      </c>
      <c r="C9" s="19" t="s">
        <v>89</v>
      </c>
      <c r="D9" s="20" t="s">
        <v>128</v>
      </c>
      <c r="E9" s="19" t="s">
        <v>111</v>
      </c>
      <c r="F9" s="20" t="s">
        <v>129</v>
      </c>
      <c r="G9" s="20" t="s">
        <v>130</v>
      </c>
      <c r="H9" s="19" t="s">
        <v>131</v>
      </c>
      <c r="I9" s="19" t="n">
        <v>0</v>
      </c>
      <c r="J9" s="19" t="s">
        <v>132</v>
      </c>
      <c r="K9" s="20" t="s">
        <v>133</v>
      </c>
      <c r="L9" s="21" t="s">
        <v>97</v>
      </c>
      <c r="M9" s="20" t="s">
        <v>134</v>
      </c>
      <c r="N9" s="22"/>
      <c r="O9" s="23"/>
      <c r="P9" s="23"/>
      <c r="Q9" s="23"/>
      <c r="R9" s="22"/>
    </row>
    <row r="10" customFormat="false" ht="75" hidden="false" customHeight="true" outlineLevel="0" collapsed="false">
      <c r="A10" s="19" t="s">
        <v>135</v>
      </c>
      <c r="B10" s="19" t="s">
        <v>136</v>
      </c>
      <c r="C10" s="19" t="s">
        <v>89</v>
      </c>
      <c r="D10" s="20" t="s">
        <v>137</v>
      </c>
      <c r="E10" s="19" t="s">
        <v>138</v>
      </c>
      <c r="F10" s="20" t="s">
        <v>139</v>
      </c>
      <c r="G10" s="20" t="s">
        <v>140</v>
      </c>
      <c r="H10" s="19" t="s">
        <v>123</v>
      </c>
      <c r="I10" s="19" t="n">
        <v>12</v>
      </c>
      <c r="J10" s="19" t="s">
        <v>141</v>
      </c>
      <c r="K10" s="20" t="s">
        <v>142</v>
      </c>
      <c r="L10" s="21" t="s">
        <v>97</v>
      </c>
      <c r="M10" s="20" t="s">
        <v>143</v>
      </c>
      <c r="N10" s="22"/>
      <c r="O10" s="23"/>
      <c r="P10" s="23"/>
      <c r="Q10" s="23"/>
      <c r="R10" s="22"/>
    </row>
    <row r="11" customFormat="false" ht="75" hidden="false" customHeight="true" outlineLevel="0" collapsed="false">
      <c r="A11" s="19" t="s">
        <v>144</v>
      </c>
      <c r="B11" s="19" t="s">
        <v>145</v>
      </c>
      <c r="C11" s="19" t="s">
        <v>89</v>
      </c>
      <c r="D11" s="20" t="s">
        <v>146</v>
      </c>
      <c r="E11" s="19" t="s">
        <v>111</v>
      </c>
      <c r="F11" s="20" t="s">
        <v>147</v>
      </c>
      <c r="G11" s="20" t="s">
        <v>148</v>
      </c>
      <c r="H11" s="19" t="s">
        <v>149</v>
      </c>
      <c r="I11" s="19" t="n">
        <v>0</v>
      </c>
      <c r="J11" s="19" t="s">
        <v>115</v>
      </c>
      <c r="K11" s="20" t="s">
        <v>150</v>
      </c>
      <c r="L11" s="21" t="s">
        <v>97</v>
      </c>
      <c r="M11" s="20" t="s">
        <v>151</v>
      </c>
      <c r="N11" s="22"/>
      <c r="O11" s="23"/>
      <c r="P11" s="23"/>
      <c r="Q11" s="23"/>
      <c r="R11" s="22"/>
    </row>
    <row r="12" customFormat="false" ht="75" hidden="false" customHeight="true" outlineLevel="0" collapsed="false">
      <c r="A12" s="19" t="s">
        <v>152</v>
      </c>
      <c r="B12" s="19" t="s">
        <v>153</v>
      </c>
      <c r="C12" s="19" t="s">
        <v>154</v>
      </c>
      <c r="D12" s="20" t="s">
        <v>155</v>
      </c>
      <c r="E12" s="19" t="s">
        <v>111</v>
      </c>
      <c r="F12" s="20" t="s">
        <v>156</v>
      </c>
      <c r="G12" s="20" t="s">
        <v>157</v>
      </c>
      <c r="H12" s="19" t="s">
        <v>158</v>
      </c>
      <c r="I12" s="19" t="n">
        <v>0</v>
      </c>
      <c r="J12" s="19" t="s">
        <v>115</v>
      </c>
      <c r="K12" s="20" t="s">
        <v>159</v>
      </c>
      <c r="L12" s="21" t="s">
        <v>97</v>
      </c>
      <c r="M12" s="20" t="s">
        <v>160</v>
      </c>
      <c r="N12" s="22"/>
      <c r="O12" s="23"/>
      <c r="P12" s="23"/>
      <c r="Q12" s="23"/>
      <c r="R12" s="22"/>
    </row>
    <row r="13" customFormat="false" ht="75" hidden="false" customHeight="true" outlineLevel="0" collapsed="false">
      <c r="A13" s="19" t="s">
        <v>161</v>
      </c>
      <c r="B13" s="19" t="s">
        <v>162</v>
      </c>
      <c r="C13" s="19" t="s">
        <v>154</v>
      </c>
      <c r="D13" s="20" t="s">
        <v>163</v>
      </c>
      <c r="E13" s="19" t="s">
        <v>164</v>
      </c>
      <c r="F13" s="20" t="s">
        <v>165</v>
      </c>
      <c r="G13" s="20" t="s">
        <v>166</v>
      </c>
      <c r="H13" s="19" t="s">
        <v>167</v>
      </c>
      <c r="I13" s="19" t="n">
        <v>12</v>
      </c>
      <c r="J13" s="19" t="s">
        <v>95</v>
      </c>
      <c r="K13" s="20" t="s">
        <v>168</v>
      </c>
      <c r="L13" s="21" t="s">
        <v>97</v>
      </c>
      <c r="M13" s="20" t="s">
        <v>169</v>
      </c>
      <c r="N13" s="22"/>
      <c r="O13" s="23"/>
      <c r="P13" s="23"/>
      <c r="Q13" s="23"/>
      <c r="R13" s="22"/>
    </row>
    <row r="14" customFormat="false" ht="75" hidden="false" customHeight="true" outlineLevel="0" collapsed="false">
      <c r="A14" s="19" t="s">
        <v>170</v>
      </c>
      <c r="B14" s="19" t="s">
        <v>171</v>
      </c>
      <c r="C14" s="19" t="s">
        <v>154</v>
      </c>
      <c r="D14" s="20" t="s">
        <v>172</v>
      </c>
      <c r="E14" s="19" t="s">
        <v>173</v>
      </c>
      <c r="F14" s="20" t="s">
        <v>174</v>
      </c>
      <c r="G14" s="20" t="s">
        <v>175</v>
      </c>
      <c r="H14" s="19" t="s">
        <v>167</v>
      </c>
      <c r="I14" s="19" t="n">
        <v>6</v>
      </c>
      <c r="J14" s="19" t="s">
        <v>115</v>
      </c>
      <c r="K14" s="20" t="s">
        <v>176</v>
      </c>
      <c r="L14" s="21" t="s">
        <v>97</v>
      </c>
      <c r="M14" s="20" t="s">
        <v>177</v>
      </c>
      <c r="N14" s="22"/>
      <c r="O14" s="23"/>
      <c r="P14" s="23"/>
      <c r="Q14" s="23"/>
      <c r="R14" s="22"/>
    </row>
    <row r="15" customFormat="false" ht="75" hidden="false" customHeight="true" outlineLevel="0" collapsed="false">
      <c r="A15" s="19" t="s">
        <v>178</v>
      </c>
      <c r="B15" s="19" t="s">
        <v>179</v>
      </c>
      <c r="C15" s="19" t="s">
        <v>154</v>
      </c>
      <c r="D15" s="20" t="s">
        <v>180</v>
      </c>
      <c r="E15" s="19" t="s">
        <v>164</v>
      </c>
      <c r="F15" s="20" t="s">
        <v>181</v>
      </c>
      <c r="G15" s="20" t="s">
        <v>182</v>
      </c>
      <c r="H15" s="19" t="s">
        <v>183</v>
      </c>
      <c r="I15" s="19" t="n">
        <v>0</v>
      </c>
      <c r="J15" s="19" t="s">
        <v>184</v>
      </c>
      <c r="K15" s="20" t="s">
        <v>185</v>
      </c>
      <c r="L15" s="21" t="s">
        <v>97</v>
      </c>
      <c r="M15" s="20" t="s">
        <v>186</v>
      </c>
      <c r="N15" s="22"/>
      <c r="O15" s="23"/>
      <c r="P15" s="23"/>
      <c r="Q15" s="23"/>
      <c r="R15" s="22"/>
    </row>
    <row r="16" customFormat="false" ht="75" hidden="false" customHeight="true" outlineLevel="0" collapsed="false">
      <c r="A16" s="19" t="s">
        <v>187</v>
      </c>
      <c r="B16" s="19" t="s">
        <v>188</v>
      </c>
      <c r="C16" s="19" t="s">
        <v>154</v>
      </c>
      <c r="D16" s="20" t="s">
        <v>189</v>
      </c>
      <c r="E16" s="19" t="s">
        <v>190</v>
      </c>
      <c r="F16" s="20" t="s">
        <v>191</v>
      </c>
      <c r="G16" s="20" t="s">
        <v>192</v>
      </c>
      <c r="H16" s="19" t="s">
        <v>193</v>
      </c>
      <c r="I16" s="19" t="n">
        <v>12</v>
      </c>
      <c r="J16" s="19" t="s">
        <v>194</v>
      </c>
      <c r="K16" s="20" t="s">
        <v>195</v>
      </c>
      <c r="L16" s="21" t="s">
        <v>97</v>
      </c>
      <c r="M16" s="20" t="s">
        <v>196</v>
      </c>
      <c r="N16" s="22"/>
      <c r="O16" s="23"/>
      <c r="P16" s="23"/>
      <c r="Q16" s="23"/>
      <c r="R16" s="22"/>
    </row>
    <row r="17" customFormat="false" ht="75" hidden="false" customHeight="true" outlineLevel="0" collapsed="false">
      <c r="A17" s="19" t="s">
        <v>197</v>
      </c>
      <c r="B17" s="19" t="s">
        <v>198</v>
      </c>
      <c r="C17" s="19" t="s">
        <v>154</v>
      </c>
      <c r="D17" s="20" t="s">
        <v>199</v>
      </c>
      <c r="E17" s="19" t="s">
        <v>200</v>
      </c>
      <c r="F17" s="20" t="s">
        <v>201</v>
      </c>
      <c r="G17" s="20" t="s">
        <v>202</v>
      </c>
      <c r="H17" s="19" t="s">
        <v>203</v>
      </c>
      <c r="I17" s="19" t="n">
        <v>6</v>
      </c>
      <c r="J17" s="19" t="s">
        <v>204</v>
      </c>
      <c r="K17" s="20" t="s">
        <v>205</v>
      </c>
      <c r="L17" s="21" t="s">
        <v>97</v>
      </c>
      <c r="M17" s="20" t="s">
        <v>206</v>
      </c>
      <c r="N17" s="22"/>
      <c r="O17" s="23"/>
      <c r="P17" s="23"/>
      <c r="Q17" s="23"/>
      <c r="R17" s="22"/>
    </row>
    <row r="18" customFormat="false" ht="75" hidden="false" customHeight="true" outlineLevel="0" collapsed="false">
      <c r="A18" s="19" t="s">
        <v>207</v>
      </c>
      <c r="B18" s="19" t="s">
        <v>208</v>
      </c>
      <c r="C18" s="19" t="s">
        <v>154</v>
      </c>
      <c r="D18" s="20" t="s">
        <v>209</v>
      </c>
      <c r="E18" s="19" t="s">
        <v>102</v>
      </c>
      <c r="F18" s="20" t="s">
        <v>210</v>
      </c>
      <c r="G18" s="20" t="s">
        <v>211</v>
      </c>
      <c r="H18" s="19" t="s">
        <v>212</v>
      </c>
      <c r="I18" s="19" t="n">
        <v>12</v>
      </c>
      <c r="J18" s="19" t="s">
        <v>213</v>
      </c>
      <c r="K18" s="20" t="s">
        <v>214</v>
      </c>
      <c r="L18" s="21" t="s">
        <v>97</v>
      </c>
      <c r="M18" s="20" t="s">
        <v>215</v>
      </c>
      <c r="N18" s="22"/>
      <c r="O18" s="23"/>
      <c r="P18" s="23"/>
      <c r="Q18" s="23"/>
      <c r="R18" s="22"/>
    </row>
    <row r="19" customFormat="false" ht="75" hidden="false" customHeight="true" outlineLevel="0" collapsed="false">
      <c r="A19" s="19" t="s">
        <v>216</v>
      </c>
      <c r="B19" s="19" t="s">
        <v>217</v>
      </c>
      <c r="C19" s="19" t="s">
        <v>154</v>
      </c>
      <c r="D19" s="20" t="s">
        <v>218</v>
      </c>
      <c r="E19" s="19" t="s">
        <v>219</v>
      </c>
      <c r="F19" s="20" t="s">
        <v>220</v>
      </c>
      <c r="G19" s="20" t="s">
        <v>221</v>
      </c>
      <c r="H19" s="19" t="s">
        <v>222</v>
      </c>
      <c r="I19" s="19" t="n">
        <v>6</v>
      </c>
      <c r="J19" s="19" t="s">
        <v>141</v>
      </c>
      <c r="K19" s="20" t="s">
        <v>223</v>
      </c>
      <c r="L19" s="21" t="s">
        <v>97</v>
      </c>
      <c r="M19" s="20" t="s">
        <v>224</v>
      </c>
      <c r="N19" s="22"/>
      <c r="O19" s="23"/>
      <c r="P19" s="23"/>
      <c r="Q19" s="23"/>
      <c r="R19" s="22"/>
    </row>
    <row r="20" customFormat="false" ht="75" hidden="false" customHeight="true" outlineLevel="0" collapsed="false">
      <c r="A20" s="19" t="s">
        <v>225</v>
      </c>
      <c r="B20" s="19" t="s">
        <v>226</v>
      </c>
      <c r="C20" s="19" t="s">
        <v>154</v>
      </c>
      <c r="D20" s="20" t="s">
        <v>227</v>
      </c>
      <c r="E20" s="19" t="s">
        <v>228</v>
      </c>
      <c r="F20" s="20" t="s">
        <v>229</v>
      </c>
      <c r="G20" s="20" t="s">
        <v>230</v>
      </c>
      <c r="H20" s="19" t="s">
        <v>231</v>
      </c>
      <c r="I20" s="19" t="n">
        <v>12</v>
      </c>
      <c r="J20" s="19" t="s">
        <v>232</v>
      </c>
      <c r="K20" s="20" t="s">
        <v>233</v>
      </c>
      <c r="L20" s="21" t="s">
        <v>97</v>
      </c>
      <c r="M20" s="20" t="s">
        <v>234</v>
      </c>
      <c r="N20" s="22"/>
      <c r="O20" s="23"/>
      <c r="P20" s="23"/>
      <c r="Q20" s="23"/>
      <c r="R20" s="22"/>
    </row>
    <row r="21" customFormat="false" ht="75" hidden="false" customHeight="true" outlineLevel="0" collapsed="false">
      <c r="A21" s="19" t="s">
        <v>235</v>
      </c>
      <c r="B21" s="19" t="s">
        <v>236</v>
      </c>
      <c r="C21" s="19" t="s">
        <v>154</v>
      </c>
      <c r="D21" s="20" t="s">
        <v>237</v>
      </c>
      <c r="E21" s="19" t="s">
        <v>111</v>
      </c>
      <c r="F21" s="20" t="s">
        <v>238</v>
      </c>
      <c r="G21" s="20" t="s">
        <v>239</v>
      </c>
      <c r="H21" s="19" t="s">
        <v>240</v>
      </c>
      <c r="I21" s="19" t="n">
        <v>0</v>
      </c>
      <c r="J21" s="19" t="s">
        <v>115</v>
      </c>
      <c r="K21" s="20" t="s">
        <v>241</v>
      </c>
      <c r="L21" s="21" t="s">
        <v>97</v>
      </c>
      <c r="M21" s="20" t="s">
        <v>242</v>
      </c>
      <c r="N21" s="22"/>
      <c r="O21" s="23"/>
      <c r="P21" s="23"/>
      <c r="Q21" s="23"/>
      <c r="R21" s="22"/>
    </row>
    <row r="22" customFormat="false" ht="75" hidden="false" customHeight="true" outlineLevel="0" collapsed="false">
      <c r="A22" s="19" t="s">
        <v>243</v>
      </c>
      <c r="B22" s="19" t="s">
        <v>244</v>
      </c>
      <c r="C22" s="19" t="s">
        <v>154</v>
      </c>
      <c r="D22" s="20" t="s">
        <v>245</v>
      </c>
      <c r="E22" s="19" t="s">
        <v>246</v>
      </c>
      <c r="F22" s="20" t="s">
        <v>247</v>
      </c>
      <c r="G22" s="20" t="s">
        <v>248</v>
      </c>
      <c r="H22" s="19" t="s">
        <v>249</v>
      </c>
      <c r="I22" s="19" t="n">
        <v>12</v>
      </c>
      <c r="J22" s="19" t="s">
        <v>250</v>
      </c>
      <c r="K22" s="20" t="s">
        <v>251</v>
      </c>
      <c r="L22" s="21" t="s">
        <v>97</v>
      </c>
      <c r="M22" s="20" t="s">
        <v>252</v>
      </c>
      <c r="N22" s="22"/>
      <c r="O22" s="23"/>
      <c r="P22" s="23"/>
      <c r="Q22" s="23"/>
      <c r="R22" s="22"/>
    </row>
    <row r="23" customFormat="false" ht="75" hidden="false" customHeight="true" outlineLevel="0" collapsed="false">
      <c r="A23" s="19" t="s">
        <v>253</v>
      </c>
      <c r="B23" s="19" t="s">
        <v>254</v>
      </c>
      <c r="C23" s="19" t="s">
        <v>154</v>
      </c>
      <c r="D23" s="20" t="s">
        <v>255</v>
      </c>
      <c r="E23" s="19" t="s">
        <v>256</v>
      </c>
      <c r="F23" s="20" t="s">
        <v>257</v>
      </c>
      <c r="G23" s="20" t="s">
        <v>258</v>
      </c>
      <c r="H23" s="19" t="s">
        <v>259</v>
      </c>
      <c r="I23" s="19" t="n">
        <v>12</v>
      </c>
      <c r="J23" s="19" t="s">
        <v>260</v>
      </c>
      <c r="K23" s="20" t="s">
        <v>261</v>
      </c>
      <c r="L23" s="21" t="s">
        <v>97</v>
      </c>
      <c r="M23" s="20" t="s">
        <v>262</v>
      </c>
      <c r="N23" s="22"/>
      <c r="O23" s="23"/>
      <c r="P23" s="23"/>
      <c r="Q23" s="23"/>
      <c r="R23" s="22"/>
    </row>
    <row r="24" customFormat="false" ht="75" hidden="false" customHeight="true" outlineLevel="0" collapsed="false">
      <c r="A24" s="19" t="s">
        <v>263</v>
      </c>
      <c r="B24" s="19" t="s">
        <v>264</v>
      </c>
      <c r="C24" s="19" t="s">
        <v>154</v>
      </c>
      <c r="D24" s="20" t="s">
        <v>265</v>
      </c>
      <c r="E24" s="19" t="s">
        <v>266</v>
      </c>
      <c r="F24" s="20" t="s">
        <v>267</v>
      </c>
      <c r="G24" s="20" t="s">
        <v>268</v>
      </c>
      <c r="H24" s="19" t="s">
        <v>222</v>
      </c>
      <c r="I24" s="19" t="n">
        <v>12</v>
      </c>
      <c r="J24" s="19" t="s">
        <v>269</v>
      </c>
      <c r="K24" s="20" t="s">
        <v>270</v>
      </c>
      <c r="L24" s="21" t="s">
        <v>97</v>
      </c>
      <c r="M24" s="20" t="s">
        <v>271</v>
      </c>
      <c r="N24" s="22"/>
      <c r="O24" s="23"/>
      <c r="P24" s="23"/>
      <c r="Q24" s="23"/>
      <c r="R24" s="22"/>
    </row>
    <row r="25" customFormat="false" ht="75" hidden="false" customHeight="true" outlineLevel="0" collapsed="false">
      <c r="A25" s="19" t="s">
        <v>272</v>
      </c>
      <c r="B25" s="19" t="s">
        <v>273</v>
      </c>
      <c r="C25" s="19" t="s">
        <v>154</v>
      </c>
      <c r="D25" s="20" t="s">
        <v>274</v>
      </c>
      <c r="E25" s="19" t="s">
        <v>275</v>
      </c>
      <c r="F25" s="20" t="s">
        <v>276</v>
      </c>
      <c r="G25" s="20" t="s">
        <v>277</v>
      </c>
      <c r="H25" s="19" t="s">
        <v>222</v>
      </c>
      <c r="I25" s="19" t="n">
        <v>12</v>
      </c>
      <c r="J25" s="19" t="s">
        <v>141</v>
      </c>
      <c r="K25" s="20" t="s">
        <v>278</v>
      </c>
      <c r="L25" s="21" t="s">
        <v>97</v>
      </c>
      <c r="M25" s="20" t="s">
        <v>279</v>
      </c>
      <c r="N25" s="22"/>
      <c r="O25" s="23"/>
      <c r="P25" s="23"/>
      <c r="Q25" s="23"/>
      <c r="R25" s="22"/>
    </row>
    <row r="26" customFormat="false" ht="75" hidden="false" customHeight="true" outlineLevel="0" collapsed="false">
      <c r="A26" s="19" t="s">
        <v>280</v>
      </c>
      <c r="B26" s="19" t="s">
        <v>281</v>
      </c>
      <c r="C26" s="19" t="s">
        <v>154</v>
      </c>
      <c r="D26" s="20" t="s">
        <v>282</v>
      </c>
      <c r="E26" s="19" t="s">
        <v>283</v>
      </c>
      <c r="F26" s="20" t="s">
        <v>284</v>
      </c>
      <c r="G26" s="20" t="s">
        <v>285</v>
      </c>
      <c r="H26" s="19" t="s">
        <v>222</v>
      </c>
      <c r="I26" s="19" t="n">
        <v>6</v>
      </c>
      <c r="J26" s="19" t="s">
        <v>286</v>
      </c>
      <c r="K26" s="20" t="s">
        <v>287</v>
      </c>
      <c r="L26" s="21" t="s">
        <v>97</v>
      </c>
      <c r="M26" s="20" t="s">
        <v>288</v>
      </c>
      <c r="N26" s="22"/>
      <c r="O26" s="23"/>
      <c r="P26" s="23"/>
      <c r="Q26" s="23"/>
      <c r="R26" s="22"/>
    </row>
    <row r="27" customFormat="false" ht="75" hidden="false" customHeight="true" outlineLevel="0" collapsed="false">
      <c r="A27" s="19" t="s">
        <v>289</v>
      </c>
      <c r="B27" s="19" t="s">
        <v>290</v>
      </c>
      <c r="C27" s="19" t="s">
        <v>154</v>
      </c>
      <c r="D27" s="20" t="s">
        <v>291</v>
      </c>
      <c r="E27" s="19" t="s">
        <v>292</v>
      </c>
      <c r="F27" s="20" t="s">
        <v>293</v>
      </c>
      <c r="G27" s="20" t="s">
        <v>294</v>
      </c>
      <c r="H27" s="19" t="s">
        <v>295</v>
      </c>
      <c r="I27" s="19" t="n">
        <v>0</v>
      </c>
      <c r="J27" s="19" t="s">
        <v>296</v>
      </c>
      <c r="K27" s="20" t="s">
        <v>297</v>
      </c>
      <c r="L27" s="21" t="s">
        <v>97</v>
      </c>
      <c r="M27" s="20" t="s">
        <v>298</v>
      </c>
      <c r="N27" s="22"/>
      <c r="O27" s="23"/>
      <c r="P27" s="23"/>
      <c r="Q27" s="23"/>
      <c r="R27" s="22"/>
    </row>
    <row r="28" customFormat="false" ht="75" hidden="false" customHeight="true" outlineLevel="0" collapsed="false">
      <c r="A28" s="19" t="s">
        <v>299</v>
      </c>
      <c r="B28" s="19" t="s">
        <v>300</v>
      </c>
      <c r="C28" s="19" t="s">
        <v>154</v>
      </c>
      <c r="D28" s="20" t="s">
        <v>301</v>
      </c>
      <c r="E28" s="19" t="s">
        <v>302</v>
      </c>
      <c r="F28" s="20" t="s">
        <v>303</v>
      </c>
      <c r="G28" s="20" t="s">
        <v>304</v>
      </c>
      <c r="H28" s="19" t="s">
        <v>305</v>
      </c>
      <c r="I28" s="19" t="n">
        <v>12</v>
      </c>
      <c r="J28" s="19" t="s">
        <v>306</v>
      </c>
      <c r="K28" s="20" t="s">
        <v>307</v>
      </c>
      <c r="L28" s="21" t="s">
        <v>97</v>
      </c>
      <c r="M28" s="20" t="s">
        <v>308</v>
      </c>
      <c r="N28" s="22"/>
      <c r="O28" s="23"/>
      <c r="P28" s="23"/>
      <c r="Q28" s="23"/>
      <c r="R28" s="22"/>
    </row>
    <row r="29" customFormat="false" ht="75" hidden="false" customHeight="true" outlineLevel="0" collapsed="false">
      <c r="A29" s="19" t="s">
        <v>309</v>
      </c>
      <c r="B29" s="19" t="s">
        <v>310</v>
      </c>
      <c r="C29" s="19" t="s">
        <v>311</v>
      </c>
      <c r="D29" s="20" t="s">
        <v>312</v>
      </c>
      <c r="E29" s="19" t="s">
        <v>313</v>
      </c>
      <c r="F29" s="20" t="s">
        <v>314</v>
      </c>
      <c r="G29" s="20" t="s">
        <v>315</v>
      </c>
      <c r="H29" s="19" t="s">
        <v>316</v>
      </c>
      <c r="I29" s="19" t="n">
        <v>12</v>
      </c>
      <c r="J29" s="19" t="s">
        <v>317</v>
      </c>
      <c r="K29" s="20" t="s">
        <v>318</v>
      </c>
      <c r="L29" s="21" t="s">
        <v>97</v>
      </c>
      <c r="M29" s="20" t="s">
        <v>319</v>
      </c>
      <c r="N29" s="22"/>
      <c r="O29" s="23"/>
      <c r="P29" s="23"/>
      <c r="Q29" s="23"/>
      <c r="R29" s="22"/>
    </row>
    <row r="30" customFormat="false" ht="75" hidden="false" customHeight="true" outlineLevel="0" collapsed="false">
      <c r="A30" s="19" t="s">
        <v>320</v>
      </c>
      <c r="B30" s="19" t="s">
        <v>321</v>
      </c>
      <c r="C30" s="19" t="s">
        <v>311</v>
      </c>
      <c r="D30" s="20" t="s">
        <v>322</v>
      </c>
      <c r="E30" s="19" t="s">
        <v>323</v>
      </c>
      <c r="F30" s="20" t="s">
        <v>324</v>
      </c>
      <c r="G30" s="20" t="s">
        <v>325</v>
      </c>
      <c r="H30" s="19" t="s">
        <v>240</v>
      </c>
      <c r="I30" s="19" t="n">
        <v>12</v>
      </c>
      <c r="J30" s="19" t="s">
        <v>95</v>
      </c>
      <c r="K30" s="20" t="s">
        <v>326</v>
      </c>
      <c r="L30" s="21" t="s">
        <v>97</v>
      </c>
      <c r="M30" s="20" t="s">
        <v>327</v>
      </c>
      <c r="N30" s="22"/>
      <c r="O30" s="23"/>
      <c r="P30" s="23"/>
      <c r="Q30" s="23"/>
      <c r="R30" s="22"/>
    </row>
    <row r="31" customFormat="false" ht="75" hidden="false" customHeight="true" outlineLevel="0" collapsed="false">
      <c r="A31" s="19" t="s">
        <v>328</v>
      </c>
      <c r="B31" s="19" t="s">
        <v>329</v>
      </c>
      <c r="C31" s="19" t="s">
        <v>311</v>
      </c>
      <c r="D31" s="20" t="s">
        <v>330</v>
      </c>
      <c r="E31" s="19" t="s">
        <v>111</v>
      </c>
      <c r="F31" s="20" t="s">
        <v>331</v>
      </c>
      <c r="G31" s="20" t="s">
        <v>332</v>
      </c>
      <c r="H31" s="19" t="s">
        <v>333</v>
      </c>
      <c r="I31" s="19" t="n">
        <v>0</v>
      </c>
      <c r="J31" s="19" t="s">
        <v>95</v>
      </c>
      <c r="K31" s="20" t="s">
        <v>334</v>
      </c>
      <c r="L31" s="21" t="s">
        <v>97</v>
      </c>
      <c r="M31" s="20" t="s">
        <v>335</v>
      </c>
      <c r="N31" s="22"/>
      <c r="O31" s="23"/>
      <c r="P31" s="23"/>
      <c r="Q31" s="23"/>
      <c r="R31" s="22"/>
    </row>
    <row r="32" customFormat="false" ht="75" hidden="false" customHeight="true" outlineLevel="0" collapsed="false">
      <c r="A32" s="19" t="s">
        <v>336</v>
      </c>
      <c r="B32" s="19" t="s">
        <v>337</v>
      </c>
      <c r="C32" s="19" t="s">
        <v>311</v>
      </c>
      <c r="D32" s="20" t="s">
        <v>338</v>
      </c>
      <c r="E32" s="19" t="s">
        <v>339</v>
      </c>
      <c r="F32" s="20" t="s">
        <v>340</v>
      </c>
      <c r="G32" s="20" t="s">
        <v>341</v>
      </c>
      <c r="H32" s="19" t="s">
        <v>342</v>
      </c>
      <c r="I32" s="19" t="n">
        <v>0</v>
      </c>
      <c r="J32" s="19" t="s">
        <v>95</v>
      </c>
      <c r="K32" s="20" t="s">
        <v>343</v>
      </c>
      <c r="L32" s="21" t="s">
        <v>97</v>
      </c>
      <c r="M32" s="20" t="s">
        <v>344</v>
      </c>
      <c r="N32" s="22"/>
      <c r="O32" s="23"/>
      <c r="P32" s="23"/>
      <c r="Q32" s="23"/>
      <c r="R32" s="22"/>
    </row>
    <row r="33" customFormat="false" ht="75" hidden="false" customHeight="true" outlineLevel="0" collapsed="false">
      <c r="A33" s="19" t="s">
        <v>345</v>
      </c>
      <c r="B33" s="19" t="s">
        <v>346</v>
      </c>
      <c r="C33" s="19" t="s">
        <v>311</v>
      </c>
      <c r="D33" s="20" t="s">
        <v>347</v>
      </c>
      <c r="E33" s="19" t="s">
        <v>111</v>
      </c>
      <c r="F33" s="20" t="s">
        <v>348</v>
      </c>
      <c r="G33" s="20" t="s">
        <v>349</v>
      </c>
      <c r="H33" s="19" t="s">
        <v>350</v>
      </c>
      <c r="I33" s="19" t="n">
        <v>0</v>
      </c>
      <c r="J33" s="19" t="s">
        <v>115</v>
      </c>
      <c r="K33" s="20" t="s">
        <v>351</v>
      </c>
      <c r="L33" s="21" t="s">
        <v>97</v>
      </c>
      <c r="M33" s="20" t="s">
        <v>352</v>
      </c>
      <c r="N33" s="22"/>
      <c r="O33" s="23"/>
      <c r="P33" s="23"/>
      <c r="Q33" s="23"/>
      <c r="R33" s="22"/>
    </row>
    <row r="34" customFormat="false" ht="75" hidden="false" customHeight="true" outlineLevel="0" collapsed="false">
      <c r="A34" s="19" t="s">
        <v>353</v>
      </c>
      <c r="B34" s="19" t="s">
        <v>354</v>
      </c>
      <c r="C34" s="19" t="s">
        <v>311</v>
      </c>
      <c r="D34" s="20" t="s">
        <v>355</v>
      </c>
      <c r="E34" s="19" t="s">
        <v>356</v>
      </c>
      <c r="F34" s="20" t="s">
        <v>357</v>
      </c>
      <c r="G34" s="20" t="s">
        <v>358</v>
      </c>
      <c r="H34" s="19" t="s">
        <v>359</v>
      </c>
      <c r="I34" s="19" t="n">
        <v>0</v>
      </c>
      <c r="J34" s="19" t="s">
        <v>115</v>
      </c>
      <c r="K34" s="20" t="s">
        <v>360</v>
      </c>
      <c r="L34" s="21" t="s">
        <v>97</v>
      </c>
      <c r="M34" s="20" t="s">
        <v>361</v>
      </c>
      <c r="N34" s="22"/>
      <c r="O34" s="23"/>
      <c r="P34" s="23"/>
      <c r="Q34" s="23"/>
      <c r="R34" s="22"/>
    </row>
    <row r="35" customFormat="false" ht="75" hidden="false" customHeight="true" outlineLevel="0" collapsed="false">
      <c r="A35" s="19" t="s">
        <v>362</v>
      </c>
      <c r="B35" s="19" t="s">
        <v>363</v>
      </c>
      <c r="C35" s="19" t="s">
        <v>311</v>
      </c>
      <c r="D35" s="20" t="s">
        <v>364</v>
      </c>
      <c r="E35" s="19" t="s">
        <v>365</v>
      </c>
      <c r="F35" s="20" t="s">
        <v>366</v>
      </c>
      <c r="G35" s="20" t="s">
        <v>367</v>
      </c>
      <c r="H35" s="19" t="s">
        <v>368</v>
      </c>
      <c r="I35" s="19" t="n">
        <v>0</v>
      </c>
      <c r="J35" s="19" t="s">
        <v>115</v>
      </c>
      <c r="K35" s="20" t="s">
        <v>369</v>
      </c>
      <c r="L35" s="21" t="s">
        <v>97</v>
      </c>
      <c r="M35" s="20" t="s">
        <v>370</v>
      </c>
      <c r="N35" s="22"/>
      <c r="O35" s="23"/>
      <c r="P35" s="23"/>
      <c r="Q35" s="23"/>
      <c r="R35" s="22"/>
    </row>
    <row r="36" customFormat="false" ht="75" hidden="false" customHeight="true" outlineLevel="0" collapsed="false">
      <c r="A36" s="19" t="s">
        <v>371</v>
      </c>
      <c r="B36" s="19" t="s">
        <v>372</v>
      </c>
      <c r="C36" s="19" t="s">
        <v>373</v>
      </c>
      <c r="D36" s="20" t="s">
        <v>374</v>
      </c>
      <c r="E36" s="19" t="s">
        <v>266</v>
      </c>
      <c r="F36" s="20" t="s">
        <v>375</v>
      </c>
      <c r="G36" s="20" t="s">
        <v>376</v>
      </c>
      <c r="H36" s="19" t="s">
        <v>377</v>
      </c>
      <c r="I36" s="19" t="n">
        <v>12</v>
      </c>
      <c r="J36" s="19" t="s">
        <v>378</v>
      </c>
      <c r="K36" s="20" t="s">
        <v>379</v>
      </c>
      <c r="L36" s="21" t="s">
        <v>97</v>
      </c>
      <c r="M36" s="20" t="s">
        <v>380</v>
      </c>
      <c r="N36" s="22"/>
      <c r="O36" s="23"/>
      <c r="P36" s="23"/>
      <c r="Q36" s="23"/>
      <c r="R36" s="22"/>
    </row>
    <row r="37" customFormat="false" ht="75" hidden="false" customHeight="true" outlineLevel="0" collapsed="false">
      <c r="A37" s="19" t="s">
        <v>381</v>
      </c>
      <c r="B37" s="19" t="s">
        <v>382</v>
      </c>
      <c r="C37" s="19" t="s">
        <v>373</v>
      </c>
      <c r="D37" s="20" t="s">
        <v>383</v>
      </c>
      <c r="E37" s="19" t="s">
        <v>384</v>
      </c>
      <c r="F37" s="20" t="s">
        <v>385</v>
      </c>
      <c r="G37" s="20" t="s">
        <v>386</v>
      </c>
      <c r="H37" s="19" t="s">
        <v>387</v>
      </c>
      <c r="I37" s="19" t="n">
        <v>6</v>
      </c>
      <c r="J37" s="19" t="s">
        <v>388</v>
      </c>
      <c r="K37" s="20" t="s">
        <v>389</v>
      </c>
      <c r="L37" s="21" t="s">
        <v>97</v>
      </c>
      <c r="M37" s="20" t="s">
        <v>390</v>
      </c>
      <c r="N37" s="22"/>
      <c r="O37" s="23"/>
      <c r="P37" s="23"/>
      <c r="Q37" s="23"/>
      <c r="R37" s="22"/>
    </row>
    <row r="38" customFormat="false" ht="75" hidden="false" customHeight="true" outlineLevel="0" collapsed="false">
      <c r="A38" s="19" t="s">
        <v>391</v>
      </c>
      <c r="B38" s="19" t="s">
        <v>392</v>
      </c>
      <c r="C38" s="19" t="s">
        <v>373</v>
      </c>
      <c r="D38" s="20" t="s">
        <v>393</v>
      </c>
      <c r="E38" s="19" t="s">
        <v>102</v>
      </c>
      <c r="F38" s="20" t="s">
        <v>394</v>
      </c>
      <c r="G38" s="20" t="s">
        <v>395</v>
      </c>
      <c r="H38" s="19" t="s">
        <v>123</v>
      </c>
      <c r="I38" s="19" t="n">
        <v>12</v>
      </c>
      <c r="J38" s="19" t="s">
        <v>141</v>
      </c>
      <c r="K38" s="20" t="s">
        <v>396</v>
      </c>
      <c r="L38" s="21" t="s">
        <v>97</v>
      </c>
      <c r="M38" s="20" t="s">
        <v>397</v>
      </c>
      <c r="N38" s="22"/>
      <c r="O38" s="23"/>
      <c r="P38" s="23"/>
      <c r="Q38" s="23"/>
      <c r="R38" s="22"/>
    </row>
    <row r="39" customFormat="false" ht="75" hidden="false" customHeight="true" outlineLevel="0" collapsed="false">
      <c r="A39" s="19" t="s">
        <v>398</v>
      </c>
      <c r="B39" s="19" t="s">
        <v>399</v>
      </c>
      <c r="C39" s="19" t="s">
        <v>373</v>
      </c>
      <c r="D39" s="20" t="s">
        <v>400</v>
      </c>
      <c r="E39" s="19" t="s">
        <v>266</v>
      </c>
      <c r="F39" s="20" t="s">
        <v>401</v>
      </c>
      <c r="G39" s="20" t="s">
        <v>402</v>
      </c>
      <c r="H39" s="19" t="s">
        <v>403</v>
      </c>
      <c r="I39" s="19" t="n">
        <v>6</v>
      </c>
      <c r="J39" s="19" t="s">
        <v>141</v>
      </c>
      <c r="K39" s="20" t="s">
        <v>404</v>
      </c>
      <c r="L39" s="21" t="s">
        <v>97</v>
      </c>
      <c r="M39" s="20" t="s">
        <v>405</v>
      </c>
      <c r="N39" s="22"/>
      <c r="O39" s="23"/>
      <c r="P39" s="23"/>
      <c r="Q39" s="23"/>
      <c r="R39" s="22"/>
    </row>
    <row r="40" customFormat="false" ht="75" hidden="false" customHeight="true" outlineLevel="0" collapsed="false">
      <c r="A40" s="19" t="s">
        <v>406</v>
      </c>
      <c r="B40" s="19" t="s">
        <v>407</v>
      </c>
      <c r="C40" s="19" t="s">
        <v>408</v>
      </c>
      <c r="D40" s="20" t="s">
        <v>409</v>
      </c>
      <c r="E40" s="19" t="s">
        <v>410</v>
      </c>
      <c r="F40" s="20" t="s">
        <v>411</v>
      </c>
      <c r="G40" s="20" t="s">
        <v>412</v>
      </c>
      <c r="H40" s="19" t="s">
        <v>413</v>
      </c>
      <c r="I40" s="19" t="n">
        <v>12</v>
      </c>
      <c r="J40" s="19" t="s">
        <v>306</v>
      </c>
      <c r="K40" s="20" t="s">
        <v>414</v>
      </c>
      <c r="L40" s="21" t="s">
        <v>97</v>
      </c>
      <c r="M40" s="20" t="s">
        <v>415</v>
      </c>
      <c r="N40" s="22"/>
      <c r="O40" s="23"/>
      <c r="P40" s="23"/>
      <c r="Q40" s="23"/>
      <c r="R40" s="22"/>
    </row>
    <row r="41" customFormat="false" ht="75" hidden="false" customHeight="true" outlineLevel="0" collapsed="false">
      <c r="A41" s="19" t="s">
        <v>416</v>
      </c>
      <c r="B41" s="19" t="s">
        <v>417</v>
      </c>
      <c r="C41" s="19" t="s">
        <v>154</v>
      </c>
      <c r="D41" s="20" t="s">
        <v>418</v>
      </c>
      <c r="E41" s="19" t="s">
        <v>266</v>
      </c>
      <c r="F41" s="20" t="s">
        <v>419</v>
      </c>
      <c r="G41" s="20" t="s">
        <v>420</v>
      </c>
      <c r="H41" s="19" t="s">
        <v>222</v>
      </c>
      <c r="I41" s="19" t="n">
        <v>6</v>
      </c>
      <c r="J41" s="19" t="s">
        <v>421</v>
      </c>
      <c r="K41" s="20" t="s">
        <v>422</v>
      </c>
      <c r="L41" s="21" t="s">
        <v>97</v>
      </c>
      <c r="M41" s="20" t="s">
        <v>423</v>
      </c>
      <c r="N41" s="22"/>
      <c r="O41" s="23"/>
      <c r="P41" s="23"/>
      <c r="Q41" s="23"/>
      <c r="R41" s="22"/>
    </row>
    <row r="42" customFormat="false" ht="75" hidden="false" customHeight="true" outlineLevel="0" collapsed="false">
      <c r="A42" s="19" t="s">
        <v>424</v>
      </c>
      <c r="B42" s="19" t="s">
        <v>425</v>
      </c>
      <c r="C42" s="19" t="s">
        <v>154</v>
      </c>
      <c r="D42" s="20" t="s">
        <v>426</v>
      </c>
      <c r="E42" s="19" t="s">
        <v>266</v>
      </c>
      <c r="F42" s="20" t="s">
        <v>427</v>
      </c>
      <c r="G42" s="20" t="s">
        <v>428</v>
      </c>
      <c r="H42" s="19" t="s">
        <v>429</v>
      </c>
      <c r="I42" s="19" t="n">
        <v>12</v>
      </c>
      <c r="J42" s="19" t="s">
        <v>194</v>
      </c>
      <c r="K42" s="20" t="s">
        <v>430</v>
      </c>
      <c r="L42" s="21" t="s">
        <v>97</v>
      </c>
      <c r="M42" s="20" t="s">
        <v>431</v>
      </c>
      <c r="N42" s="22"/>
      <c r="O42" s="23"/>
      <c r="P42" s="23"/>
      <c r="Q42" s="23"/>
      <c r="R42" s="22"/>
    </row>
    <row r="43" customFormat="false" ht="75" hidden="false" customHeight="true" outlineLevel="0" collapsed="false">
      <c r="A43" s="19" t="s">
        <v>432</v>
      </c>
      <c r="B43" s="19" t="s">
        <v>433</v>
      </c>
      <c r="C43" s="19" t="s">
        <v>154</v>
      </c>
      <c r="D43" s="20" t="s">
        <v>434</v>
      </c>
      <c r="E43" s="19" t="s">
        <v>435</v>
      </c>
      <c r="F43" s="20" t="s">
        <v>436</v>
      </c>
      <c r="G43" s="20" t="s">
        <v>437</v>
      </c>
      <c r="H43" s="19" t="s">
        <v>222</v>
      </c>
      <c r="I43" s="19" t="n">
        <v>6</v>
      </c>
      <c r="J43" s="19" t="s">
        <v>115</v>
      </c>
      <c r="K43" s="20" t="s">
        <v>438</v>
      </c>
      <c r="L43" s="21" t="s">
        <v>97</v>
      </c>
      <c r="M43" s="20" t="s">
        <v>439</v>
      </c>
      <c r="N43" s="22"/>
      <c r="O43" s="23"/>
      <c r="P43" s="23"/>
      <c r="Q43" s="23"/>
      <c r="R43" s="22"/>
    </row>
    <row r="44" customFormat="false" ht="75" hidden="false" customHeight="true" outlineLevel="0" collapsed="false">
      <c r="A44" s="19" t="s">
        <v>440</v>
      </c>
      <c r="B44" s="19" t="s">
        <v>441</v>
      </c>
      <c r="C44" s="19" t="s">
        <v>154</v>
      </c>
      <c r="D44" s="20" t="s">
        <v>442</v>
      </c>
      <c r="E44" s="19" t="s">
        <v>266</v>
      </c>
      <c r="F44" s="20" t="s">
        <v>443</v>
      </c>
      <c r="G44" s="20" t="s">
        <v>444</v>
      </c>
      <c r="H44" s="19" t="s">
        <v>445</v>
      </c>
      <c r="I44" s="19" t="n">
        <v>12</v>
      </c>
      <c r="J44" s="19" t="s">
        <v>269</v>
      </c>
      <c r="K44" s="20" t="s">
        <v>446</v>
      </c>
      <c r="L44" s="21" t="s">
        <v>97</v>
      </c>
      <c r="M44" s="20" t="s">
        <v>447</v>
      </c>
      <c r="N44" s="22"/>
      <c r="O44" s="23"/>
      <c r="P44" s="23"/>
      <c r="Q44" s="23"/>
      <c r="R44" s="22"/>
    </row>
    <row r="45" customFormat="false" ht="75" hidden="false" customHeight="true" outlineLevel="0" collapsed="false">
      <c r="A45" s="19" t="s">
        <v>448</v>
      </c>
      <c r="B45" s="19" t="s">
        <v>449</v>
      </c>
      <c r="C45" s="19" t="s">
        <v>154</v>
      </c>
      <c r="D45" s="20" t="s">
        <v>450</v>
      </c>
      <c r="E45" s="19" t="s">
        <v>451</v>
      </c>
      <c r="F45" s="20" t="s">
        <v>452</v>
      </c>
      <c r="G45" s="20" t="s">
        <v>453</v>
      </c>
      <c r="H45" s="19" t="s">
        <v>222</v>
      </c>
      <c r="I45" s="19" t="n">
        <v>6</v>
      </c>
      <c r="J45" s="19" t="s">
        <v>115</v>
      </c>
      <c r="K45" s="20" t="s">
        <v>454</v>
      </c>
      <c r="L45" s="21" t="s">
        <v>97</v>
      </c>
      <c r="M45" s="20" t="s">
        <v>455</v>
      </c>
      <c r="N45" s="22"/>
      <c r="O45" s="23"/>
      <c r="P45" s="23"/>
      <c r="Q45" s="23"/>
      <c r="R45" s="22"/>
    </row>
    <row r="46" customFormat="false" ht="75" hidden="false" customHeight="true" outlineLevel="0" collapsed="false">
      <c r="A46" s="19" t="s">
        <v>456</v>
      </c>
      <c r="B46" s="19" t="s">
        <v>457</v>
      </c>
      <c r="C46" s="19" t="s">
        <v>154</v>
      </c>
      <c r="D46" s="20" t="s">
        <v>458</v>
      </c>
      <c r="E46" s="19" t="s">
        <v>266</v>
      </c>
      <c r="F46" s="20" t="s">
        <v>459</v>
      </c>
      <c r="G46" s="20" t="s">
        <v>460</v>
      </c>
      <c r="H46" s="19" t="s">
        <v>222</v>
      </c>
      <c r="I46" s="19" t="n">
        <v>6</v>
      </c>
      <c r="J46" s="19" t="s">
        <v>461</v>
      </c>
      <c r="K46" s="20" t="s">
        <v>462</v>
      </c>
      <c r="L46" s="21" t="s">
        <v>97</v>
      </c>
      <c r="M46" s="20" t="s">
        <v>463</v>
      </c>
      <c r="N46" s="22"/>
      <c r="O46" s="23"/>
      <c r="P46" s="23"/>
      <c r="Q46" s="23"/>
      <c r="R46" s="22"/>
    </row>
  </sheetData>
  <autoFilter ref="A4:R46"/>
  <mergeCells count="2">
    <mergeCell ref="A1:R1"/>
    <mergeCell ref="A2:R2"/>
  </mergeCells>
  <dataValidations count="1">
    <dataValidation allowBlank="true" error="Pick one: VALIDATED, NEEDS UPDATE, DISPUTED, PENDING" errorStyle="stop" operator="between" showDropDown="false" showErrorMessage="false" showInputMessage="false" sqref="N5:N46" type="list">
      <formula1>"VALIDATED,NEEDS UPDATE,DISPUTED,PENDING"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19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  <col collapsed="false" customWidth="true" hidden="false" outlineLevel="0" max="13" min="13" style="0" width="32"/>
    <col collapsed="false" customWidth="true" hidden="false" outlineLevel="0" max="14" min="14" style="0" width="16"/>
    <col collapsed="false" customWidth="true" hidden="false" outlineLevel="0" max="15" min="15" style="0" width="32"/>
  </cols>
  <sheetData>
    <row r="1" customFormat="false" ht="19.7" hidden="false" customHeight="true" outlineLevel="0" collapsed="false">
      <c r="A1" s="16" t="s">
        <v>464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465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39.55" hidden="false" customHeight="false" outlineLevel="0" collapsed="false">
      <c r="A4" s="18" t="s">
        <v>70</v>
      </c>
      <c r="B4" s="18" t="s">
        <v>7</v>
      </c>
      <c r="C4" s="18" t="s">
        <v>71</v>
      </c>
      <c r="D4" s="18" t="s">
        <v>466</v>
      </c>
      <c r="E4" s="18" t="s">
        <v>467</v>
      </c>
      <c r="F4" s="18" t="s">
        <v>468</v>
      </c>
      <c r="G4" s="18" t="s">
        <v>469</v>
      </c>
      <c r="H4" s="18" t="s">
        <v>470</v>
      </c>
      <c r="I4" s="18" t="s">
        <v>471</v>
      </c>
      <c r="J4" s="18" t="s">
        <v>472</v>
      </c>
      <c r="K4" s="18" t="s">
        <v>473</v>
      </c>
      <c r="L4" s="18" t="s">
        <v>474</v>
      </c>
      <c r="M4" s="18" t="s">
        <v>475</v>
      </c>
      <c r="N4" s="18" t="s">
        <v>82</v>
      </c>
      <c r="O4" s="18" t="s">
        <v>476</v>
      </c>
    </row>
    <row r="5" customFormat="false" ht="64.5" hidden="false" customHeight="true" outlineLevel="0" collapsed="false">
      <c r="A5" s="24" t="s">
        <v>87</v>
      </c>
      <c r="B5" s="24" t="s">
        <v>88</v>
      </c>
      <c r="C5" s="24" t="s">
        <v>89</v>
      </c>
      <c r="D5" s="25" t="n">
        <v>100000</v>
      </c>
      <c r="E5" s="26" t="n">
        <v>0.5</v>
      </c>
      <c r="F5" s="26" t="n">
        <v>0.55</v>
      </c>
      <c r="G5" s="27" t="n">
        <f aca="false">D5*E5</f>
        <v>50000</v>
      </c>
      <c r="H5" s="27" t="n">
        <f aca="false">D5*F5</f>
        <v>55000</v>
      </c>
      <c r="I5" s="26" t="n">
        <v>0.4</v>
      </c>
      <c r="J5" s="26" t="n">
        <v>0.6</v>
      </c>
      <c r="K5" s="28" t="s">
        <v>477</v>
      </c>
      <c r="L5" s="20" t="s">
        <v>478</v>
      </c>
      <c r="M5" s="20" t="s">
        <v>479</v>
      </c>
      <c r="N5" s="29"/>
      <c r="O5" s="29"/>
    </row>
    <row r="6" customFormat="false" ht="64.5" hidden="false" customHeight="true" outlineLevel="0" collapsed="false">
      <c r="A6" s="24" t="s">
        <v>99</v>
      </c>
      <c r="B6" s="24" t="s">
        <v>100</v>
      </c>
      <c r="C6" s="24" t="s">
        <v>89</v>
      </c>
      <c r="D6" s="25" t="n">
        <v>100000</v>
      </c>
      <c r="E6" s="26" t="n">
        <v>0.78</v>
      </c>
      <c r="F6" s="26" t="n">
        <v>0.85</v>
      </c>
      <c r="G6" s="27" t="n">
        <f aca="false">D6*E6</f>
        <v>78000</v>
      </c>
      <c r="H6" s="27" t="n">
        <f aca="false">D6*F6</f>
        <v>85000</v>
      </c>
      <c r="I6" s="26" t="n">
        <v>0.7</v>
      </c>
      <c r="J6" s="26" t="n">
        <v>0.85</v>
      </c>
      <c r="K6" s="28" t="s">
        <v>477</v>
      </c>
      <c r="L6" s="20" t="s">
        <v>480</v>
      </c>
      <c r="M6" s="20" t="s">
        <v>481</v>
      </c>
      <c r="N6" s="29"/>
      <c r="O6" s="29"/>
    </row>
    <row r="7" customFormat="false" ht="64.5" hidden="false" customHeight="true" outlineLevel="0" collapsed="false">
      <c r="A7" s="24" t="s">
        <v>108</v>
      </c>
      <c r="B7" s="24" t="s">
        <v>109</v>
      </c>
      <c r="C7" s="24" t="s">
        <v>89</v>
      </c>
      <c r="D7" s="25" t="n">
        <v>100000</v>
      </c>
      <c r="E7" s="26" t="n">
        <v>0.75</v>
      </c>
      <c r="F7" s="26" t="n">
        <v>0.85</v>
      </c>
      <c r="G7" s="27" t="n">
        <f aca="false">D7*E7</f>
        <v>75000</v>
      </c>
      <c r="H7" s="27" t="n">
        <f aca="false">D7*F7</f>
        <v>85000</v>
      </c>
      <c r="I7" s="26" t="n">
        <v>0.65</v>
      </c>
      <c r="J7" s="26" t="n">
        <v>0.85</v>
      </c>
      <c r="K7" s="30" t="s">
        <v>482</v>
      </c>
      <c r="L7" s="20" t="s">
        <v>483</v>
      </c>
      <c r="M7" s="20" t="s">
        <v>484</v>
      </c>
      <c r="N7" s="29"/>
      <c r="O7" s="29"/>
    </row>
    <row r="8" customFormat="false" ht="64.5" hidden="false" customHeight="true" outlineLevel="0" collapsed="false">
      <c r="A8" s="24" t="s">
        <v>118</v>
      </c>
      <c r="B8" s="24" t="s">
        <v>119</v>
      </c>
      <c r="C8" s="24" t="s">
        <v>89</v>
      </c>
      <c r="D8" s="25" t="n">
        <v>100000</v>
      </c>
      <c r="E8" s="26" t="n">
        <v>0.78</v>
      </c>
      <c r="F8" s="26" t="n">
        <v>0.85</v>
      </c>
      <c r="G8" s="27" t="n">
        <f aca="false">D8*E8</f>
        <v>78000</v>
      </c>
      <c r="H8" s="27" t="n">
        <f aca="false">D8*F8</f>
        <v>85000</v>
      </c>
      <c r="I8" s="26" t="n">
        <v>0.7</v>
      </c>
      <c r="J8" s="26" t="n">
        <v>0.85</v>
      </c>
      <c r="K8" s="30" t="s">
        <v>482</v>
      </c>
      <c r="L8" s="20" t="s">
        <v>485</v>
      </c>
      <c r="M8" s="20" t="s">
        <v>486</v>
      </c>
      <c r="N8" s="29"/>
      <c r="O8" s="29"/>
    </row>
    <row r="9" customFormat="false" ht="64.5" hidden="false" customHeight="true" outlineLevel="0" collapsed="false">
      <c r="A9" s="24" t="s">
        <v>126</v>
      </c>
      <c r="B9" s="24" t="s">
        <v>127</v>
      </c>
      <c r="C9" s="24" t="s">
        <v>89</v>
      </c>
      <c r="D9" s="25" t="n">
        <v>100000</v>
      </c>
      <c r="E9" s="26" t="n">
        <v>0.7</v>
      </c>
      <c r="F9" s="26" t="n">
        <v>0.85</v>
      </c>
      <c r="G9" s="27" t="n">
        <f aca="false">D9*E9</f>
        <v>70000</v>
      </c>
      <c r="H9" s="27" t="n">
        <f aca="false">D9*F9</f>
        <v>85000</v>
      </c>
      <c r="I9" s="26" t="n">
        <v>0.6</v>
      </c>
      <c r="J9" s="26" t="n">
        <v>0.9</v>
      </c>
      <c r="K9" s="31" t="s">
        <v>487</v>
      </c>
      <c r="L9" s="20" t="s">
        <v>488</v>
      </c>
      <c r="M9" s="20" t="s">
        <v>489</v>
      </c>
      <c r="N9" s="29"/>
      <c r="O9" s="29"/>
    </row>
    <row r="10" customFormat="false" ht="64.5" hidden="false" customHeight="true" outlineLevel="0" collapsed="false">
      <c r="A10" s="24" t="s">
        <v>135</v>
      </c>
      <c r="B10" s="24" t="s">
        <v>136</v>
      </c>
      <c r="C10" s="24" t="s">
        <v>89</v>
      </c>
      <c r="D10" s="25" t="n">
        <v>100000</v>
      </c>
      <c r="E10" s="26" t="n">
        <v>0.78</v>
      </c>
      <c r="F10" s="26" t="n">
        <v>0.85</v>
      </c>
      <c r="G10" s="27" t="n">
        <f aca="false">D10*E10</f>
        <v>78000</v>
      </c>
      <c r="H10" s="27" t="n">
        <f aca="false">D10*F10</f>
        <v>85000</v>
      </c>
      <c r="I10" s="26" t="n">
        <v>0.7</v>
      </c>
      <c r="J10" s="26" t="n">
        <v>0.85</v>
      </c>
      <c r="K10" s="30" t="s">
        <v>482</v>
      </c>
      <c r="L10" s="20" t="s">
        <v>490</v>
      </c>
      <c r="M10" s="20" t="s">
        <v>491</v>
      </c>
      <c r="N10" s="29"/>
      <c r="O10" s="29"/>
    </row>
    <row r="11" customFormat="false" ht="64.5" hidden="false" customHeight="true" outlineLevel="0" collapsed="false">
      <c r="A11" s="24" t="s">
        <v>144</v>
      </c>
      <c r="B11" s="24" t="s">
        <v>145</v>
      </c>
      <c r="C11" s="24" t="s">
        <v>89</v>
      </c>
      <c r="D11" s="25" t="n">
        <v>100000</v>
      </c>
      <c r="E11" s="26" t="n">
        <v>0.85</v>
      </c>
      <c r="F11" s="26" t="n">
        <v>0.92</v>
      </c>
      <c r="G11" s="27" t="n">
        <f aca="false">D11*E11</f>
        <v>85000</v>
      </c>
      <c r="H11" s="27" t="n">
        <f aca="false">D11*F11</f>
        <v>92000</v>
      </c>
      <c r="I11" s="26" t="n">
        <v>0.8</v>
      </c>
      <c r="J11" s="26" t="n">
        <v>0.92</v>
      </c>
      <c r="K11" s="30" t="s">
        <v>482</v>
      </c>
      <c r="L11" s="20" t="s">
        <v>492</v>
      </c>
      <c r="M11" s="20" t="s">
        <v>493</v>
      </c>
      <c r="N11" s="29"/>
      <c r="O11" s="29"/>
    </row>
    <row r="12" customFormat="false" ht="64.5" hidden="false" customHeight="true" outlineLevel="0" collapsed="false">
      <c r="A12" s="24" t="s">
        <v>152</v>
      </c>
      <c r="B12" s="24" t="s">
        <v>153</v>
      </c>
      <c r="C12" s="24" t="s">
        <v>154</v>
      </c>
      <c r="D12" s="25" t="n">
        <v>100000</v>
      </c>
      <c r="E12" s="26" t="n">
        <v>0.78</v>
      </c>
      <c r="F12" s="26" t="n">
        <v>0.85</v>
      </c>
      <c r="G12" s="27" t="n">
        <f aca="false">D12*E12</f>
        <v>78000</v>
      </c>
      <c r="H12" s="27" t="n">
        <f aca="false">D12*F12</f>
        <v>85000</v>
      </c>
      <c r="I12" s="26" t="n">
        <v>0.65</v>
      </c>
      <c r="J12" s="26" t="n">
        <v>0.85</v>
      </c>
      <c r="K12" s="28" t="s">
        <v>477</v>
      </c>
      <c r="L12" s="20" t="s">
        <v>494</v>
      </c>
      <c r="M12" s="20" t="s">
        <v>495</v>
      </c>
      <c r="N12" s="29"/>
      <c r="O12" s="29"/>
    </row>
    <row r="13" customFormat="false" ht="64.5" hidden="false" customHeight="true" outlineLevel="0" collapsed="false">
      <c r="A13" s="24" t="s">
        <v>161</v>
      </c>
      <c r="B13" s="24" t="s">
        <v>162</v>
      </c>
      <c r="C13" s="24" t="s">
        <v>154</v>
      </c>
      <c r="D13" s="25" t="n">
        <v>100000</v>
      </c>
      <c r="E13" s="26" t="n">
        <v>0.75</v>
      </c>
      <c r="F13" s="26" t="n">
        <v>0.9</v>
      </c>
      <c r="G13" s="27" t="n">
        <f aca="false">D13*E13</f>
        <v>75000</v>
      </c>
      <c r="H13" s="27" t="n">
        <f aca="false">D13*F13</f>
        <v>90000</v>
      </c>
      <c r="I13" s="26" t="n">
        <v>0.6</v>
      </c>
      <c r="J13" s="26" t="n">
        <v>0.9</v>
      </c>
      <c r="K13" s="28" t="s">
        <v>477</v>
      </c>
      <c r="L13" s="20" t="s">
        <v>496</v>
      </c>
      <c r="M13" s="20" t="s">
        <v>497</v>
      </c>
      <c r="N13" s="29"/>
      <c r="O13" s="29"/>
    </row>
    <row r="14" customFormat="false" ht="64.5" hidden="false" customHeight="true" outlineLevel="0" collapsed="false">
      <c r="A14" s="24" t="s">
        <v>170</v>
      </c>
      <c r="B14" s="24" t="s">
        <v>171</v>
      </c>
      <c r="C14" s="24" t="s">
        <v>154</v>
      </c>
      <c r="D14" s="25" t="n">
        <v>100000</v>
      </c>
      <c r="E14" s="26" t="n">
        <v>0.85</v>
      </c>
      <c r="F14" s="26" t="n">
        <v>1</v>
      </c>
      <c r="G14" s="27" t="n">
        <f aca="false">D14*E14</f>
        <v>85000</v>
      </c>
      <c r="H14" s="27" t="n">
        <f aca="false">D14*F14</f>
        <v>100000</v>
      </c>
      <c r="I14" s="26" t="n">
        <v>0.6</v>
      </c>
      <c r="J14" s="26" t="n">
        <v>0.9</v>
      </c>
      <c r="K14" s="28" t="s">
        <v>477</v>
      </c>
      <c r="L14" s="20" t="s">
        <v>498</v>
      </c>
      <c r="M14" s="20" t="s">
        <v>499</v>
      </c>
      <c r="N14" s="29"/>
      <c r="O14" s="29"/>
    </row>
    <row r="15" customFormat="false" ht="64.5" hidden="false" customHeight="true" outlineLevel="0" collapsed="false">
      <c r="A15" s="24" t="s">
        <v>178</v>
      </c>
      <c r="B15" s="24" t="s">
        <v>179</v>
      </c>
      <c r="C15" s="24" t="s">
        <v>154</v>
      </c>
      <c r="D15" s="25" t="n">
        <v>100000</v>
      </c>
      <c r="E15" s="26" t="n">
        <v>0.7</v>
      </c>
      <c r="F15" s="26" t="n">
        <v>1</v>
      </c>
      <c r="G15" s="27" t="n">
        <f aca="false">D15*E15</f>
        <v>70000</v>
      </c>
      <c r="H15" s="27" t="n">
        <f aca="false">D15*F15</f>
        <v>100000</v>
      </c>
      <c r="I15" s="26" t="n">
        <v>0.6</v>
      </c>
      <c r="J15" s="26" t="n">
        <v>0.85</v>
      </c>
      <c r="K15" s="28" t="s">
        <v>477</v>
      </c>
      <c r="L15" s="20" t="s">
        <v>500</v>
      </c>
      <c r="M15" s="20" t="s">
        <v>501</v>
      </c>
      <c r="N15" s="29"/>
      <c r="O15" s="29"/>
    </row>
    <row r="16" customFormat="false" ht="64.5" hidden="false" customHeight="true" outlineLevel="0" collapsed="false">
      <c r="A16" s="24" t="s">
        <v>187</v>
      </c>
      <c r="B16" s="24" t="s">
        <v>188</v>
      </c>
      <c r="C16" s="24" t="s">
        <v>154</v>
      </c>
      <c r="D16" s="25" t="n">
        <v>100000</v>
      </c>
      <c r="E16" s="26" t="n">
        <v>0.7</v>
      </c>
      <c r="F16" s="26" t="n">
        <v>1</v>
      </c>
      <c r="G16" s="27" t="n">
        <f aca="false">D16*E16</f>
        <v>70000</v>
      </c>
      <c r="H16" s="27" t="n">
        <f aca="false">D16*F16</f>
        <v>100000</v>
      </c>
      <c r="I16" s="26" t="n">
        <v>0.6</v>
      </c>
      <c r="J16" s="26" t="n">
        <v>0.85</v>
      </c>
      <c r="K16" s="30" t="s">
        <v>482</v>
      </c>
      <c r="L16" s="20" t="s">
        <v>502</v>
      </c>
      <c r="M16" s="20" t="s">
        <v>503</v>
      </c>
      <c r="N16" s="29"/>
      <c r="O16" s="29"/>
    </row>
    <row r="17" customFormat="false" ht="64.5" hidden="false" customHeight="true" outlineLevel="0" collapsed="false">
      <c r="A17" s="24" t="s">
        <v>197</v>
      </c>
      <c r="B17" s="24" t="s">
        <v>198</v>
      </c>
      <c r="C17" s="24" t="s">
        <v>154</v>
      </c>
      <c r="D17" s="25" t="n">
        <v>100000</v>
      </c>
      <c r="E17" s="26" t="n">
        <v>0.78</v>
      </c>
      <c r="F17" s="26" t="n">
        <v>0.85</v>
      </c>
      <c r="G17" s="27" t="n">
        <f aca="false">D17*E17</f>
        <v>78000</v>
      </c>
      <c r="H17" s="27" t="n">
        <f aca="false">D17*F17</f>
        <v>85000</v>
      </c>
      <c r="I17" s="26" t="n">
        <v>0.7</v>
      </c>
      <c r="J17" s="26" t="n">
        <v>0.85</v>
      </c>
      <c r="K17" s="30" t="s">
        <v>482</v>
      </c>
      <c r="L17" s="20" t="s">
        <v>504</v>
      </c>
      <c r="M17" s="20" t="s">
        <v>505</v>
      </c>
      <c r="N17" s="29"/>
      <c r="O17" s="29"/>
    </row>
    <row r="18" customFormat="false" ht="64.5" hidden="false" customHeight="true" outlineLevel="0" collapsed="false">
      <c r="A18" s="24" t="s">
        <v>207</v>
      </c>
      <c r="B18" s="24" t="s">
        <v>208</v>
      </c>
      <c r="C18" s="24" t="s">
        <v>154</v>
      </c>
      <c r="D18" s="25" t="n">
        <v>100000</v>
      </c>
      <c r="E18" s="26" t="n">
        <v>0.92</v>
      </c>
      <c r="F18" s="26" t="n">
        <v>0.95</v>
      </c>
      <c r="G18" s="27" t="n">
        <f aca="false">D18*E18</f>
        <v>92000</v>
      </c>
      <c r="H18" s="27" t="n">
        <f aca="false">D18*F18</f>
        <v>95000</v>
      </c>
      <c r="I18" s="26" t="n">
        <v>0.85</v>
      </c>
      <c r="J18" s="26" t="n">
        <v>0.95</v>
      </c>
      <c r="K18" s="30" t="s">
        <v>482</v>
      </c>
      <c r="L18" s="20" t="s">
        <v>506</v>
      </c>
      <c r="M18" s="20" t="s">
        <v>507</v>
      </c>
      <c r="N18" s="29"/>
      <c r="O18" s="29"/>
    </row>
    <row r="19" customFormat="false" ht="64.5" hidden="false" customHeight="true" outlineLevel="0" collapsed="false">
      <c r="A19" s="24" t="s">
        <v>216</v>
      </c>
      <c r="B19" s="24" t="s">
        <v>217</v>
      </c>
      <c r="C19" s="24" t="s">
        <v>154</v>
      </c>
      <c r="D19" s="25" t="n">
        <v>100000</v>
      </c>
      <c r="E19" s="26" t="n">
        <v>0.85</v>
      </c>
      <c r="F19" s="26" t="n">
        <v>0.92</v>
      </c>
      <c r="G19" s="27" t="n">
        <f aca="false">D19*E19</f>
        <v>85000</v>
      </c>
      <c r="H19" s="27" t="n">
        <f aca="false">D19*F19</f>
        <v>92000</v>
      </c>
      <c r="I19" s="26" t="n">
        <v>0.8</v>
      </c>
      <c r="J19" s="26" t="n">
        <v>0.92</v>
      </c>
      <c r="K19" s="30" t="s">
        <v>482</v>
      </c>
      <c r="L19" s="20" t="s">
        <v>508</v>
      </c>
      <c r="M19" s="20" t="s">
        <v>509</v>
      </c>
      <c r="N19" s="29"/>
      <c r="O19" s="29"/>
    </row>
    <row r="20" customFormat="false" ht="64.5" hidden="false" customHeight="true" outlineLevel="0" collapsed="false">
      <c r="A20" s="24" t="s">
        <v>225</v>
      </c>
      <c r="B20" s="24" t="s">
        <v>226</v>
      </c>
      <c r="C20" s="24" t="s">
        <v>154</v>
      </c>
      <c r="D20" s="25" t="n">
        <v>100000</v>
      </c>
      <c r="E20" s="26" t="n">
        <v>0.65</v>
      </c>
      <c r="F20" s="26" t="n">
        <v>0.8</v>
      </c>
      <c r="G20" s="27" t="n">
        <f aca="false">D20*E20</f>
        <v>65000</v>
      </c>
      <c r="H20" s="27" t="n">
        <f aca="false">D20*F20</f>
        <v>80000</v>
      </c>
      <c r="I20" s="26" t="n">
        <v>0.46</v>
      </c>
      <c r="J20" s="26" t="n">
        <v>0.8</v>
      </c>
      <c r="K20" s="28" t="s">
        <v>477</v>
      </c>
      <c r="L20" s="20" t="s">
        <v>510</v>
      </c>
      <c r="M20" s="20" t="s">
        <v>511</v>
      </c>
      <c r="N20" s="29"/>
      <c r="O20" s="29"/>
    </row>
    <row r="21" customFormat="false" ht="64.5" hidden="false" customHeight="true" outlineLevel="0" collapsed="false">
      <c r="A21" s="24" t="s">
        <v>235</v>
      </c>
      <c r="B21" s="24" t="s">
        <v>236</v>
      </c>
      <c r="C21" s="24" t="s">
        <v>154</v>
      </c>
      <c r="D21" s="25" t="n">
        <v>100000</v>
      </c>
      <c r="E21" s="26" t="n">
        <v>0.85</v>
      </c>
      <c r="F21" s="26" t="n">
        <v>0.92</v>
      </c>
      <c r="G21" s="27" t="n">
        <f aca="false">D21*E21</f>
        <v>85000</v>
      </c>
      <c r="H21" s="27" t="n">
        <f aca="false">D21*F21</f>
        <v>92000</v>
      </c>
      <c r="I21" s="26" t="n">
        <v>0.8</v>
      </c>
      <c r="J21" s="26" t="n">
        <v>0.92</v>
      </c>
      <c r="K21" s="30" t="s">
        <v>482</v>
      </c>
      <c r="L21" s="20" t="s">
        <v>512</v>
      </c>
      <c r="M21" s="20" t="s">
        <v>513</v>
      </c>
      <c r="N21" s="29"/>
      <c r="O21" s="29"/>
    </row>
    <row r="22" customFormat="false" ht="64.5" hidden="false" customHeight="true" outlineLevel="0" collapsed="false">
      <c r="A22" s="24" t="s">
        <v>243</v>
      </c>
      <c r="B22" s="24" t="s">
        <v>244</v>
      </c>
      <c r="C22" s="24" t="s">
        <v>154</v>
      </c>
      <c r="D22" s="25" t="n">
        <v>100000</v>
      </c>
      <c r="E22" s="26" t="n">
        <v>0.78</v>
      </c>
      <c r="F22" s="26" t="n">
        <v>0.85</v>
      </c>
      <c r="G22" s="27" t="n">
        <f aca="false">D22*E22</f>
        <v>78000</v>
      </c>
      <c r="H22" s="27" t="n">
        <f aca="false">D22*F22</f>
        <v>85000</v>
      </c>
      <c r="I22" s="26" t="n">
        <v>0.7</v>
      </c>
      <c r="J22" s="26" t="n">
        <v>0.85</v>
      </c>
      <c r="K22" s="30" t="s">
        <v>482</v>
      </c>
      <c r="L22" s="20" t="s">
        <v>514</v>
      </c>
      <c r="M22" s="20" t="s">
        <v>515</v>
      </c>
      <c r="N22" s="29"/>
      <c r="O22" s="29"/>
    </row>
    <row r="23" customFormat="false" ht="64.5" hidden="false" customHeight="true" outlineLevel="0" collapsed="false">
      <c r="A23" s="24" t="s">
        <v>253</v>
      </c>
      <c r="B23" s="24" t="s">
        <v>254</v>
      </c>
      <c r="C23" s="24" t="s">
        <v>154</v>
      </c>
      <c r="D23" s="25" t="n">
        <v>100000</v>
      </c>
      <c r="E23" s="26" t="n">
        <v>0.8</v>
      </c>
      <c r="F23" s="26" t="n">
        <v>0.85</v>
      </c>
      <c r="G23" s="27" t="n">
        <f aca="false">D23*E23</f>
        <v>80000</v>
      </c>
      <c r="H23" s="27" t="n">
        <f aca="false">D23*F23</f>
        <v>85000</v>
      </c>
      <c r="I23" s="26" t="n">
        <v>0.75</v>
      </c>
      <c r="J23" s="26" t="n">
        <v>0.85</v>
      </c>
      <c r="K23" s="30" t="s">
        <v>482</v>
      </c>
      <c r="L23" s="20" t="s">
        <v>516</v>
      </c>
      <c r="M23" s="20" t="s">
        <v>517</v>
      </c>
      <c r="N23" s="29"/>
      <c r="O23" s="29"/>
    </row>
    <row r="24" customFormat="false" ht="64.5" hidden="false" customHeight="true" outlineLevel="0" collapsed="false">
      <c r="A24" s="24" t="s">
        <v>263</v>
      </c>
      <c r="B24" s="24" t="s">
        <v>264</v>
      </c>
      <c r="C24" s="24" t="s">
        <v>154</v>
      </c>
      <c r="D24" s="25" t="n">
        <v>100000</v>
      </c>
      <c r="E24" s="26" t="n">
        <v>0.85</v>
      </c>
      <c r="F24" s="26" t="n">
        <v>0.91</v>
      </c>
      <c r="G24" s="27" t="n">
        <f aca="false">D24*E24</f>
        <v>85000</v>
      </c>
      <c r="H24" s="27" t="n">
        <f aca="false">D24*F24</f>
        <v>91000</v>
      </c>
      <c r="I24" s="26" t="n">
        <v>0.8</v>
      </c>
      <c r="J24" s="26" t="n">
        <v>0.91</v>
      </c>
      <c r="K24" s="28" t="s">
        <v>477</v>
      </c>
      <c r="L24" s="20" t="s">
        <v>518</v>
      </c>
      <c r="M24" s="20" t="s">
        <v>519</v>
      </c>
      <c r="N24" s="29"/>
      <c r="O24" s="29"/>
    </row>
    <row r="25" customFormat="false" ht="64.5" hidden="false" customHeight="true" outlineLevel="0" collapsed="false">
      <c r="A25" s="24" t="s">
        <v>272</v>
      </c>
      <c r="B25" s="24" t="s">
        <v>273</v>
      </c>
      <c r="C25" s="24" t="s">
        <v>154</v>
      </c>
      <c r="D25" s="25" t="n">
        <v>100000</v>
      </c>
      <c r="E25" s="26" t="n">
        <v>0.7</v>
      </c>
      <c r="F25" s="26" t="n">
        <v>0.8</v>
      </c>
      <c r="G25" s="27" t="n">
        <f aca="false">D25*E25</f>
        <v>70000</v>
      </c>
      <c r="H25" s="27" t="n">
        <f aca="false">D25*F25</f>
        <v>80000</v>
      </c>
      <c r="I25" s="26" t="n">
        <v>0.6</v>
      </c>
      <c r="J25" s="26" t="n">
        <v>0.8</v>
      </c>
      <c r="K25" s="30" t="s">
        <v>482</v>
      </c>
      <c r="L25" s="20" t="s">
        <v>520</v>
      </c>
      <c r="M25" s="20" t="s">
        <v>521</v>
      </c>
      <c r="N25" s="29"/>
      <c r="O25" s="29"/>
    </row>
    <row r="26" customFormat="false" ht="64.5" hidden="false" customHeight="true" outlineLevel="0" collapsed="false">
      <c r="A26" s="24" t="s">
        <v>280</v>
      </c>
      <c r="B26" s="24" t="s">
        <v>281</v>
      </c>
      <c r="C26" s="24" t="s">
        <v>154</v>
      </c>
      <c r="D26" s="25" t="n">
        <v>100000</v>
      </c>
      <c r="E26" s="26" t="n">
        <v>0.8</v>
      </c>
      <c r="F26" s="26" t="n">
        <v>0.85</v>
      </c>
      <c r="G26" s="27" t="n">
        <f aca="false">D26*E26</f>
        <v>80000</v>
      </c>
      <c r="H26" s="27" t="n">
        <f aca="false">D26*F26</f>
        <v>85000</v>
      </c>
      <c r="I26" s="26" t="n">
        <v>0.75</v>
      </c>
      <c r="J26" s="26" t="n">
        <v>0.85</v>
      </c>
      <c r="K26" s="31" t="s">
        <v>487</v>
      </c>
      <c r="L26" s="20" t="s">
        <v>522</v>
      </c>
      <c r="M26" s="20" t="s">
        <v>523</v>
      </c>
      <c r="N26" s="29"/>
      <c r="O26" s="29"/>
    </row>
    <row r="27" customFormat="false" ht="64.5" hidden="false" customHeight="true" outlineLevel="0" collapsed="false">
      <c r="A27" s="24" t="s">
        <v>289</v>
      </c>
      <c r="B27" s="24" t="s">
        <v>290</v>
      </c>
      <c r="C27" s="24" t="s">
        <v>154</v>
      </c>
      <c r="D27" s="25" t="n">
        <v>100000</v>
      </c>
      <c r="E27" s="26" t="n">
        <v>0.72</v>
      </c>
      <c r="F27" s="26" t="n">
        <v>0.8</v>
      </c>
      <c r="G27" s="27" t="n">
        <f aca="false">D27*E27</f>
        <v>72000</v>
      </c>
      <c r="H27" s="27" t="n">
        <f aca="false">D27*F27</f>
        <v>80000</v>
      </c>
      <c r="I27" s="26" t="n">
        <v>0.65</v>
      </c>
      <c r="J27" s="26" t="n">
        <v>0.8</v>
      </c>
      <c r="K27" s="28" t="s">
        <v>477</v>
      </c>
      <c r="L27" s="20" t="s">
        <v>524</v>
      </c>
      <c r="M27" s="20" t="s">
        <v>525</v>
      </c>
      <c r="N27" s="29"/>
      <c r="O27" s="29"/>
    </row>
    <row r="28" customFormat="false" ht="64.5" hidden="false" customHeight="true" outlineLevel="0" collapsed="false">
      <c r="A28" s="24" t="s">
        <v>299</v>
      </c>
      <c r="B28" s="24" t="s">
        <v>300</v>
      </c>
      <c r="C28" s="24" t="s">
        <v>154</v>
      </c>
      <c r="D28" s="25" t="n">
        <v>100000</v>
      </c>
      <c r="E28" s="26" t="n">
        <v>0.7</v>
      </c>
      <c r="F28" s="26" t="n">
        <v>0.85</v>
      </c>
      <c r="G28" s="27" t="n">
        <f aca="false">D28*E28</f>
        <v>70000</v>
      </c>
      <c r="H28" s="27" t="n">
        <f aca="false">D28*F28</f>
        <v>85000</v>
      </c>
      <c r="I28" s="26" t="n">
        <v>0.6</v>
      </c>
      <c r="J28" s="26" t="n">
        <v>0.9</v>
      </c>
      <c r="K28" s="31" t="s">
        <v>487</v>
      </c>
      <c r="L28" s="20" t="s">
        <v>526</v>
      </c>
      <c r="M28" s="20" t="s">
        <v>527</v>
      </c>
      <c r="N28" s="29"/>
      <c r="O28" s="29"/>
    </row>
    <row r="29" customFormat="false" ht="64.5" hidden="false" customHeight="true" outlineLevel="0" collapsed="false">
      <c r="A29" s="24" t="s">
        <v>309</v>
      </c>
      <c r="B29" s="24" t="s">
        <v>310</v>
      </c>
      <c r="C29" s="24" t="s">
        <v>311</v>
      </c>
      <c r="D29" s="25" t="n">
        <v>100000</v>
      </c>
      <c r="E29" s="26" t="n">
        <v>0.82</v>
      </c>
      <c r="F29" s="26" t="n">
        <v>0.9</v>
      </c>
      <c r="G29" s="27" t="n">
        <f aca="false">D29*E29</f>
        <v>82000</v>
      </c>
      <c r="H29" s="27" t="n">
        <f aca="false">D29*F29</f>
        <v>90000</v>
      </c>
      <c r="I29" s="26" t="n">
        <v>0.75</v>
      </c>
      <c r="J29" s="26" t="n">
        <v>0.9</v>
      </c>
      <c r="K29" s="28" t="s">
        <v>477</v>
      </c>
      <c r="L29" s="20" t="s">
        <v>528</v>
      </c>
      <c r="M29" s="20" t="s">
        <v>529</v>
      </c>
      <c r="N29" s="29"/>
      <c r="O29" s="29"/>
    </row>
    <row r="30" customFormat="false" ht="64.5" hidden="false" customHeight="true" outlineLevel="0" collapsed="false">
      <c r="A30" s="24" t="s">
        <v>320</v>
      </c>
      <c r="B30" s="24" t="s">
        <v>321</v>
      </c>
      <c r="C30" s="24" t="s">
        <v>311</v>
      </c>
      <c r="D30" s="25" t="n">
        <v>100000</v>
      </c>
      <c r="E30" s="26" t="n">
        <v>0.78</v>
      </c>
      <c r="F30" s="26" t="n">
        <v>0.85</v>
      </c>
      <c r="G30" s="27" t="n">
        <f aca="false">D30*E30</f>
        <v>78000</v>
      </c>
      <c r="H30" s="27" t="n">
        <f aca="false">D30*F30</f>
        <v>85000</v>
      </c>
      <c r="I30" s="26" t="n">
        <v>0.7</v>
      </c>
      <c r="J30" s="26" t="n">
        <v>0.85</v>
      </c>
      <c r="K30" s="30" t="s">
        <v>482</v>
      </c>
      <c r="L30" s="20" t="s">
        <v>530</v>
      </c>
      <c r="M30" s="20" t="s">
        <v>531</v>
      </c>
      <c r="N30" s="29"/>
      <c r="O30" s="29"/>
    </row>
    <row r="31" customFormat="false" ht="64.5" hidden="false" customHeight="true" outlineLevel="0" collapsed="false">
      <c r="A31" s="24" t="s">
        <v>328</v>
      </c>
      <c r="B31" s="24" t="s">
        <v>329</v>
      </c>
      <c r="C31" s="24" t="s">
        <v>311</v>
      </c>
      <c r="D31" s="25" t="n">
        <v>100000</v>
      </c>
      <c r="E31" s="26" t="n">
        <v>0.5</v>
      </c>
      <c r="F31" s="26" t="n">
        <v>0.6</v>
      </c>
      <c r="G31" s="27" t="n">
        <f aca="false">D31*E31</f>
        <v>50000</v>
      </c>
      <c r="H31" s="27" t="n">
        <f aca="false">D31*F31</f>
        <v>60000</v>
      </c>
      <c r="I31" s="26" t="n">
        <v>0.4</v>
      </c>
      <c r="J31" s="26" t="n">
        <v>0.6</v>
      </c>
      <c r="K31" s="28" t="s">
        <v>477</v>
      </c>
      <c r="L31" s="20" t="s">
        <v>532</v>
      </c>
      <c r="M31" s="20" t="s">
        <v>533</v>
      </c>
      <c r="N31" s="29"/>
      <c r="O31" s="29"/>
    </row>
    <row r="32" customFormat="false" ht="64.5" hidden="false" customHeight="true" outlineLevel="0" collapsed="false">
      <c r="A32" s="24" t="s">
        <v>336</v>
      </c>
      <c r="B32" s="24" t="s">
        <v>337</v>
      </c>
      <c r="C32" s="24" t="s">
        <v>311</v>
      </c>
      <c r="D32" s="25" t="n">
        <v>100000</v>
      </c>
      <c r="E32" s="26" t="n">
        <v>0.88</v>
      </c>
      <c r="F32" s="26" t="n">
        <v>0.95</v>
      </c>
      <c r="G32" s="27" t="n">
        <f aca="false">D32*E32</f>
        <v>88000</v>
      </c>
      <c r="H32" s="27" t="n">
        <f aca="false">D32*F32</f>
        <v>95000</v>
      </c>
      <c r="I32" s="26" t="n">
        <v>0.8</v>
      </c>
      <c r="J32" s="26" t="n">
        <v>0.95</v>
      </c>
      <c r="K32" s="31" t="s">
        <v>487</v>
      </c>
      <c r="L32" s="20" t="s">
        <v>534</v>
      </c>
      <c r="M32" s="20" t="s">
        <v>535</v>
      </c>
      <c r="N32" s="29"/>
      <c r="O32" s="29"/>
    </row>
    <row r="33" customFormat="false" ht="64.5" hidden="false" customHeight="true" outlineLevel="0" collapsed="false">
      <c r="A33" s="24" t="s">
        <v>345</v>
      </c>
      <c r="B33" s="24" t="s">
        <v>346</v>
      </c>
      <c r="C33" s="24" t="s">
        <v>311</v>
      </c>
      <c r="D33" s="25" t="n">
        <v>100000</v>
      </c>
      <c r="E33" s="26" t="n">
        <v>0.8</v>
      </c>
      <c r="F33" s="26" t="n">
        <v>0.85</v>
      </c>
      <c r="G33" s="27" t="n">
        <f aca="false">D33*E33</f>
        <v>80000</v>
      </c>
      <c r="H33" s="27" t="n">
        <f aca="false">D33*F33</f>
        <v>85000</v>
      </c>
      <c r="I33" s="26" t="n">
        <v>0.75</v>
      </c>
      <c r="J33" s="26" t="n">
        <v>0.85</v>
      </c>
      <c r="K33" s="30" t="s">
        <v>482</v>
      </c>
      <c r="L33" s="20" t="s">
        <v>536</v>
      </c>
      <c r="M33" s="20" t="s">
        <v>351</v>
      </c>
      <c r="N33" s="29"/>
      <c r="O33" s="29"/>
    </row>
    <row r="34" customFormat="false" ht="64.5" hidden="false" customHeight="true" outlineLevel="0" collapsed="false">
      <c r="A34" s="24" t="s">
        <v>353</v>
      </c>
      <c r="B34" s="24" t="s">
        <v>354</v>
      </c>
      <c r="C34" s="24" t="s">
        <v>311</v>
      </c>
      <c r="D34" s="25" t="n">
        <v>100000</v>
      </c>
      <c r="E34" s="26" t="n">
        <v>0.65</v>
      </c>
      <c r="F34" s="26" t="n">
        <v>0.8</v>
      </c>
      <c r="G34" s="27" t="n">
        <f aca="false">D34*E34</f>
        <v>65000</v>
      </c>
      <c r="H34" s="27" t="n">
        <f aca="false">D34*F34</f>
        <v>80000</v>
      </c>
      <c r="I34" s="26" t="n">
        <v>0.55</v>
      </c>
      <c r="J34" s="26" t="n">
        <v>0.8</v>
      </c>
      <c r="K34" s="31" t="s">
        <v>487</v>
      </c>
      <c r="L34" s="20" t="s">
        <v>537</v>
      </c>
      <c r="M34" s="20" t="s">
        <v>538</v>
      </c>
      <c r="N34" s="29"/>
      <c r="O34" s="29"/>
    </row>
    <row r="35" customFormat="false" ht="64.5" hidden="false" customHeight="true" outlineLevel="0" collapsed="false">
      <c r="A35" s="24" t="s">
        <v>362</v>
      </c>
      <c r="B35" s="24" t="s">
        <v>363</v>
      </c>
      <c r="C35" s="24" t="s">
        <v>311</v>
      </c>
      <c r="D35" s="25" t="n">
        <v>100000</v>
      </c>
      <c r="E35" s="26" t="n">
        <v>0.7</v>
      </c>
      <c r="F35" s="26" t="n">
        <v>0.85</v>
      </c>
      <c r="G35" s="27" t="n">
        <f aca="false">D35*E35</f>
        <v>70000</v>
      </c>
      <c r="H35" s="27" t="n">
        <f aca="false">D35*F35</f>
        <v>85000</v>
      </c>
      <c r="I35" s="26" t="n">
        <v>0.6</v>
      </c>
      <c r="J35" s="26" t="n">
        <v>0.85</v>
      </c>
      <c r="K35" s="31" t="s">
        <v>487</v>
      </c>
      <c r="L35" s="20" t="s">
        <v>539</v>
      </c>
      <c r="M35" s="20" t="s">
        <v>540</v>
      </c>
      <c r="N35" s="29"/>
      <c r="O35" s="29"/>
    </row>
    <row r="36" customFormat="false" ht="64.5" hidden="false" customHeight="true" outlineLevel="0" collapsed="false">
      <c r="A36" s="24" t="s">
        <v>371</v>
      </c>
      <c r="B36" s="24" t="s">
        <v>372</v>
      </c>
      <c r="C36" s="24" t="s">
        <v>373</v>
      </c>
      <c r="D36" s="25" t="n">
        <v>100000</v>
      </c>
      <c r="E36" s="26" t="n">
        <v>0.78</v>
      </c>
      <c r="F36" s="26" t="n">
        <v>0.85</v>
      </c>
      <c r="G36" s="27" t="n">
        <f aca="false">D36*E36</f>
        <v>78000</v>
      </c>
      <c r="H36" s="27" t="n">
        <f aca="false">D36*F36</f>
        <v>85000</v>
      </c>
      <c r="I36" s="26" t="n">
        <v>0.7</v>
      </c>
      <c r="J36" s="26" t="n">
        <v>0.85</v>
      </c>
      <c r="K36" s="30" t="s">
        <v>482</v>
      </c>
      <c r="L36" s="20" t="s">
        <v>541</v>
      </c>
      <c r="M36" s="20" t="s">
        <v>509</v>
      </c>
      <c r="N36" s="29"/>
      <c r="O36" s="29"/>
    </row>
    <row r="37" customFormat="false" ht="64.5" hidden="false" customHeight="true" outlineLevel="0" collapsed="false">
      <c r="A37" s="24" t="s">
        <v>381</v>
      </c>
      <c r="B37" s="24" t="s">
        <v>382</v>
      </c>
      <c r="C37" s="24" t="s">
        <v>373</v>
      </c>
      <c r="D37" s="25" t="n">
        <v>100000</v>
      </c>
      <c r="E37" s="26" t="n">
        <v>0.88</v>
      </c>
      <c r="F37" s="26" t="n">
        <v>0.95</v>
      </c>
      <c r="G37" s="27" t="n">
        <f aca="false">D37*E37</f>
        <v>88000</v>
      </c>
      <c r="H37" s="27" t="n">
        <f aca="false">D37*F37</f>
        <v>95000</v>
      </c>
      <c r="I37" s="26" t="n">
        <v>0.8</v>
      </c>
      <c r="J37" s="26" t="n">
        <v>0.95</v>
      </c>
      <c r="K37" s="31" t="s">
        <v>487</v>
      </c>
      <c r="L37" s="20" t="s">
        <v>542</v>
      </c>
      <c r="M37" s="20" t="s">
        <v>543</v>
      </c>
      <c r="N37" s="29"/>
      <c r="O37" s="29"/>
    </row>
    <row r="38" customFormat="false" ht="64.5" hidden="false" customHeight="true" outlineLevel="0" collapsed="false">
      <c r="A38" s="24" t="s">
        <v>391</v>
      </c>
      <c r="B38" s="24" t="s">
        <v>392</v>
      </c>
      <c r="C38" s="24" t="s">
        <v>373</v>
      </c>
      <c r="D38" s="25" t="n">
        <v>100000</v>
      </c>
      <c r="E38" s="26" t="n">
        <v>0.88</v>
      </c>
      <c r="F38" s="26" t="n">
        <v>0.95</v>
      </c>
      <c r="G38" s="27" t="n">
        <f aca="false">D38*E38</f>
        <v>88000</v>
      </c>
      <c r="H38" s="27" t="n">
        <f aca="false">D38*F38</f>
        <v>95000</v>
      </c>
      <c r="I38" s="26" t="n">
        <v>0.8</v>
      </c>
      <c r="J38" s="26" t="n">
        <v>0.95</v>
      </c>
      <c r="K38" s="31" t="s">
        <v>487</v>
      </c>
      <c r="L38" s="20" t="s">
        <v>544</v>
      </c>
      <c r="M38" s="20" t="s">
        <v>545</v>
      </c>
      <c r="N38" s="29"/>
      <c r="O38" s="29"/>
    </row>
    <row r="39" customFormat="false" ht="64.5" hidden="false" customHeight="true" outlineLevel="0" collapsed="false">
      <c r="A39" s="24" t="s">
        <v>398</v>
      </c>
      <c r="B39" s="24" t="s">
        <v>399</v>
      </c>
      <c r="C39" s="24" t="s">
        <v>373</v>
      </c>
      <c r="D39" s="25" t="n">
        <v>100000</v>
      </c>
      <c r="E39" s="26" t="n">
        <v>0.85</v>
      </c>
      <c r="F39" s="26" t="n">
        <v>0.9</v>
      </c>
      <c r="G39" s="27" t="n">
        <f aca="false">D39*E39</f>
        <v>85000</v>
      </c>
      <c r="H39" s="27" t="n">
        <f aca="false">D39*F39</f>
        <v>90000</v>
      </c>
      <c r="I39" s="26" t="n">
        <v>0.75</v>
      </c>
      <c r="J39" s="26" t="n">
        <v>0.9</v>
      </c>
      <c r="K39" s="31" t="s">
        <v>487</v>
      </c>
      <c r="L39" s="20" t="s">
        <v>546</v>
      </c>
      <c r="M39" s="20" t="s">
        <v>547</v>
      </c>
      <c r="N39" s="29"/>
      <c r="O39" s="29"/>
    </row>
    <row r="40" customFormat="false" ht="64.5" hidden="false" customHeight="true" outlineLevel="0" collapsed="false">
      <c r="A40" s="24" t="s">
        <v>406</v>
      </c>
      <c r="B40" s="24" t="s">
        <v>407</v>
      </c>
      <c r="C40" s="24" t="s">
        <v>408</v>
      </c>
      <c r="D40" s="25" t="n">
        <v>100000</v>
      </c>
      <c r="E40" s="26" t="n">
        <v>0.85</v>
      </c>
      <c r="F40" s="26" t="n">
        <v>0.9</v>
      </c>
      <c r="G40" s="27" t="n">
        <f aca="false">D40*E40</f>
        <v>85000</v>
      </c>
      <c r="H40" s="27" t="n">
        <f aca="false">D40*F40</f>
        <v>90000</v>
      </c>
      <c r="I40" s="26" t="n">
        <v>0.75</v>
      </c>
      <c r="J40" s="26" t="n">
        <v>0.9</v>
      </c>
      <c r="K40" s="30" t="s">
        <v>482</v>
      </c>
      <c r="L40" s="20" t="s">
        <v>548</v>
      </c>
      <c r="M40" s="20" t="s">
        <v>549</v>
      </c>
      <c r="N40" s="29"/>
      <c r="O40" s="29"/>
    </row>
    <row r="41" customFormat="false" ht="64.5" hidden="false" customHeight="true" outlineLevel="0" collapsed="false">
      <c r="A41" s="24" t="s">
        <v>416</v>
      </c>
      <c r="B41" s="24" t="s">
        <v>417</v>
      </c>
      <c r="C41" s="24" t="s">
        <v>154</v>
      </c>
      <c r="D41" s="25" t="n">
        <v>100000</v>
      </c>
      <c r="E41" s="26" t="n">
        <v>0.55</v>
      </c>
      <c r="F41" s="26" t="n">
        <v>0.7</v>
      </c>
      <c r="G41" s="27" t="n">
        <f aca="false">D41*E41</f>
        <v>55000</v>
      </c>
      <c r="H41" s="27" t="n">
        <f aca="false">D41*F41</f>
        <v>70000</v>
      </c>
      <c r="I41" s="26" t="n">
        <v>0.4</v>
      </c>
      <c r="J41" s="26" t="n">
        <v>0.7</v>
      </c>
      <c r="K41" s="28" t="s">
        <v>477</v>
      </c>
      <c r="L41" s="20" t="s">
        <v>550</v>
      </c>
      <c r="M41" s="20" t="s">
        <v>551</v>
      </c>
      <c r="N41" s="29"/>
      <c r="O41" s="29"/>
    </row>
    <row r="42" customFormat="false" ht="64.5" hidden="false" customHeight="true" outlineLevel="0" collapsed="false">
      <c r="A42" s="24" t="s">
        <v>424</v>
      </c>
      <c r="B42" s="24" t="s">
        <v>425</v>
      </c>
      <c r="C42" s="24" t="s">
        <v>154</v>
      </c>
      <c r="D42" s="25" t="n">
        <v>100000</v>
      </c>
      <c r="E42" s="26" t="n">
        <v>0.78</v>
      </c>
      <c r="F42" s="26" t="n">
        <v>0.85</v>
      </c>
      <c r="G42" s="27" t="n">
        <f aca="false">D42*E42</f>
        <v>78000</v>
      </c>
      <c r="H42" s="27" t="n">
        <f aca="false">D42*F42</f>
        <v>85000</v>
      </c>
      <c r="I42" s="26" t="n">
        <v>0.7</v>
      </c>
      <c r="J42" s="26" t="n">
        <v>0.9</v>
      </c>
      <c r="K42" s="30" t="s">
        <v>482</v>
      </c>
      <c r="L42" s="20" t="s">
        <v>552</v>
      </c>
      <c r="M42" s="20" t="s">
        <v>553</v>
      </c>
      <c r="N42" s="29"/>
      <c r="O42" s="29"/>
    </row>
    <row r="43" customFormat="false" ht="64.5" hidden="false" customHeight="true" outlineLevel="0" collapsed="false">
      <c r="A43" s="24" t="s">
        <v>432</v>
      </c>
      <c r="B43" s="24" t="s">
        <v>433</v>
      </c>
      <c r="C43" s="24" t="s">
        <v>154</v>
      </c>
      <c r="D43" s="25" t="n">
        <v>100000</v>
      </c>
      <c r="E43" s="26" t="n">
        <v>0.65</v>
      </c>
      <c r="F43" s="26" t="n">
        <v>0.78</v>
      </c>
      <c r="G43" s="27" t="n">
        <f aca="false">D43*E43</f>
        <v>65000</v>
      </c>
      <c r="H43" s="27" t="n">
        <f aca="false">D43*F43</f>
        <v>78000</v>
      </c>
      <c r="I43" s="26" t="n">
        <v>0.55</v>
      </c>
      <c r="J43" s="26" t="n">
        <v>0.8</v>
      </c>
      <c r="K43" s="30" t="s">
        <v>482</v>
      </c>
      <c r="L43" s="20" t="s">
        <v>554</v>
      </c>
      <c r="M43" s="20" t="s">
        <v>555</v>
      </c>
      <c r="N43" s="29"/>
      <c r="O43" s="29"/>
    </row>
    <row r="44" customFormat="false" ht="64.5" hidden="false" customHeight="true" outlineLevel="0" collapsed="false">
      <c r="A44" s="24" t="s">
        <v>440</v>
      </c>
      <c r="B44" s="24" t="s">
        <v>441</v>
      </c>
      <c r="C44" s="24" t="s">
        <v>154</v>
      </c>
      <c r="D44" s="25" t="n">
        <v>100000</v>
      </c>
      <c r="E44" s="26" t="n">
        <v>0.6</v>
      </c>
      <c r="F44" s="26" t="n">
        <v>0.72</v>
      </c>
      <c r="G44" s="27" t="n">
        <f aca="false">D44*E44</f>
        <v>60000</v>
      </c>
      <c r="H44" s="27" t="n">
        <f aca="false">D44*F44</f>
        <v>72000</v>
      </c>
      <c r="I44" s="26" t="n">
        <v>0.5</v>
      </c>
      <c r="J44" s="26" t="n">
        <v>0.75</v>
      </c>
      <c r="K44" s="30" t="s">
        <v>482</v>
      </c>
      <c r="L44" s="20" t="s">
        <v>556</v>
      </c>
      <c r="M44" s="20" t="s">
        <v>557</v>
      </c>
      <c r="N44" s="29"/>
      <c r="O44" s="29"/>
    </row>
    <row r="45" customFormat="false" ht="64.5" hidden="false" customHeight="true" outlineLevel="0" collapsed="false">
      <c r="A45" s="24" t="s">
        <v>448</v>
      </c>
      <c r="B45" s="24" t="s">
        <v>449</v>
      </c>
      <c r="C45" s="24" t="s">
        <v>154</v>
      </c>
      <c r="D45" s="25" t="n">
        <v>100000</v>
      </c>
      <c r="E45" s="26" t="n">
        <v>0.78</v>
      </c>
      <c r="F45" s="26" t="n">
        <v>0.85</v>
      </c>
      <c r="G45" s="27" t="n">
        <f aca="false">D45*E45</f>
        <v>78000</v>
      </c>
      <c r="H45" s="27" t="n">
        <f aca="false">D45*F45</f>
        <v>85000</v>
      </c>
      <c r="I45" s="26" t="n">
        <v>0.7</v>
      </c>
      <c r="J45" s="26" t="n">
        <v>0.9</v>
      </c>
      <c r="K45" s="30" t="s">
        <v>482</v>
      </c>
      <c r="L45" s="20" t="s">
        <v>558</v>
      </c>
      <c r="M45" s="20" t="s">
        <v>559</v>
      </c>
      <c r="N45" s="29"/>
      <c r="O45" s="29"/>
    </row>
    <row r="46" customFormat="false" ht="64.5" hidden="false" customHeight="true" outlineLevel="0" collapsed="false">
      <c r="A46" s="24" t="s">
        <v>456</v>
      </c>
      <c r="B46" s="24" t="s">
        <v>457</v>
      </c>
      <c r="C46" s="24" t="s">
        <v>154</v>
      </c>
      <c r="D46" s="25" t="n">
        <v>100000</v>
      </c>
      <c r="E46" s="26" t="n">
        <v>0.65</v>
      </c>
      <c r="F46" s="26" t="n">
        <v>0.78</v>
      </c>
      <c r="G46" s="27" t="n">
        <f aca="false">D46*E46</f>
        <v>65000</v>
      </c>
      <c r="H46" s="27" t="n">
        <f aca="false">D46*F46</f>
        <v>78000</v>
      </c>
      <c r="I46" s="26" t="n">
        <v>0.55</v>
      </c>
      <c r="J46" s="26" t="n">
        <v>0.8</v>
      </c>
      <c r="K46" s="31" t="s">
        <v>487</v>
      </c>
      <c r="L46" s="20" t="s">
        <v>560</v>
      </c>
      <c r="M46" s="20" t="s">
        <v>561</v>
      </c>
      <c r="N46" s="29"/>
      <c r="O46" s="29"/>
    </row>
    <row r="48" customFormat="false" ht="15" hidden="false" customHeight="false" outlineLevel="0" collapsed="false">
      <c r="B48" s="32" t="s">
        <v>562</v>
      </c>
    </row>
    <row r="49" customFormat="false" ht="15" hidden="false" customHeight="false" outlineLevel="0" collapsed="false">
      <c r="B49" s="0" t="s">
        <v>563</v>
      </c>
      <c r="D49" s="33" t="n">
        <f aca="false">SUM(D5:D46)</f>
        <v>4200000</v>
      </c>
    </row>
    <row r="50" customFormat="false" ht="15" hidden="false" customHeight="false" outlineLevel="0" collapsed="false">
      <c r="B50" s="0" t="s">
        <v>564</v>
      </c>
      <c r="D50" s="33" t="n">
        <f aca="false">SUM(G5:G46)</f>
        <v>3170000</v>
      </c>
    </row>
    <row r="51" customFormat="false" ht="15" hidden="false" customHeight="false" outlineLevel="0" collapsed="false">
      <c r="B51" s="0" t="s">
        <v>565</v>
      </c>
      <c r="D51" s="34" t="n">
        <f aca="false">D49-D50</f>
        <v>1030000</v>
      </c>
    </row>
    <row r="52" customFormat="false" ht="15" hidden="false" customHeight="false" outlineLevel="0" collapsed="false">
      <c r="B52" s="0" t="s">
        <v>566</v>
      </c>
      <c r="D52" s="35" t="n">
        <f aca="false">D50/D49</f>
        <v>0.754761904761905</v>
      </c>
    </row>
    <row r="54" customFormat="false" ht="15" hidden="false" customHeight="false" outlineLevel="0" collapsed="false">
      <c r="B54" s="8" t="s">
        <v>567</v>
      </c>
    </row>
    <row r="55" customFormat="false" ht="15" hidden="false" customHeight="false" outlineLevel="0" collapsed="false">
      <c r="B55" s="3" t="s">
        <v>568</v>
      </c>
    </row>
    <row r="56" customFormat="false" ht="15" hidden="false" customHeight="false" outlineLevel="0" collapsed="false">
      <c r="B56" s="3" t="s">
        <v>569</v>
      </c>
    </row>
  </sheetData>
  <autoFilter ref="A4:O46"/>
  <mergeCells count="2">
    <mergeCell ref="A1:O1"/>
    <mergeCell ref="A2:O2"/>
  </mergeCells>
  <dataValidations count="2">
    <dataValidation allowBlank="true" errorStyle="stop" operator="between" showDropDown="false" showErrorMessage="false" showInputMessage="false" sqref="N5:N46" type="list">
      <formula1>"VALIDATED,NEEDS UPDATE,DISPUTED,PENDING"</formula1>
      <formula2>0</formula2>
    </dataValidation>
    <dataValidation allowBlank="true" errorStyle="stop" operator="between" showDropDown="false" showErrorMessage="false" showInputMessage="false" sqref="K5:K4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80"/>
  </cols>
  <sheetData>
    <row r="1" customFormat="false" ht="19.7" hidden="false" customHeight="true" outlineLevel="0" collapsed="false">
      <c r="A1" s="16" t="s">
        <v>570</v>
      </c>
      <c r="B1" s="16"/>
      <c r="C1" s="16"/>
      <c r="D1" s="16"/>
      <c r="E1" s="16"/>
    </row>
    <row r="2" customFormat="false" ht="15" hidden="false" customHeight="false" outlineLevel="0" collapsed="false">
      <c r="A2" s="36" t="s">
        <v>571</v>
      </c>
      <c r="B2" s="36"/>
      <c r="C2" s="36"/>
      <c r="D2" s="36"/>
      <c r="E2" s="36"/>
    </row>
    <row r="4" customFormat="false" ht="26.85" hidden="false" customHeight="false" outlineLevel="0" collapsed="false">
      <c r="A4" s="18" t="s">
        <v>572</v>
      </c>
      <c r="B4" s="18" t="s">
        <v>573</v>
      </c>
      <c r="C4" s="18" t="s">
        <v>574</v>
      </c>
      <c r="D4" s="18" t="s">
        <v>575</v>
      </c>
      <c r="E4" s="18" t="s">
        <v>576</v>
      </c>
    </row>
    <row r="5" customFormat="false" ht="49.5" hidden="false" customHeight="true" outlineLevel="0" collapsed="false">
      <c r="A5" s="37" t="n">
        <v>1</v>
      </c>
      <c r="B5" s="19" t="s">
        <v>171</v>
      </c>
      <c r="C5" s="37" t="s">
        <v>577</v>
      </c>
      <c r="D5" s="38" t="s">
        <v>578</v>
      </c>
      <c r="E5" s="20" t="s">
        <v>579</v>
      </c>
    </row>
    <row r="6" customFormat="false" ht="49.5" hidden="false" customHeight="true" outlineLevel="0" collapsed="false">
      <c r="A6" s="37" t="n">
        <v>2</v>
      </c>
      <c r="B6" s="19" t="s">
        <v>153</v>
      </c>
      <c r="C6" s="37" t="s">
        <v>580</v>
      </c>
      <c r="D6" s="38" t="s">
        <v>578</v>
      </c>
      <c r="E6" s="20" t="s">
        <v>581</v>
      </c>
    </row>
    <row r="7" customFormat="false" ht="49.5" hidden="false" customHeight="true" outlineLevel="0" collapsed="false">
      <c r="A7" s="37" t="n">
        <v>3</v>
      </c>
      <c r="B7" s="19" t="s">
        <v>162</v>
      </c>
      <c r="C7" s="37" t="s">
        <v>580</v>
      </c>
      <c r="D7" s="38" t="s">
        <v>578</v>
      </c>
      <c r="E7" s="20" t="s">
        <v>582</v>
      </c>
    </row>
    <row r="8" customFormat="false" ht="49.5" hidden="false" customHeight="true" outlineLevel="0" collapsed="false">
      <c r="A8" s="37" t="n">
        <v>4</v>
      </c>
      <c r="B8" s="19" t="s">
        <v>179</v>
      </c>
      <c r="C8" s="37" t="s">
        <v>583</v>
      </c>
      <c r="D8" s="39" t="s">
        <v>477</v>
      </c>
      <c r="E8" s="20" t="s">
        <v>584</v>
      </c>
    </row>
    <row r="9" customFormat="false" ht="49.5" hidden="false" customHeight="true" outlineLevel="0" collapsed="false">
      <c r="A9" s="37" t="n">
        <v>5</v>
      </c>
      <c r="B9" s="19" t="s">
        <v>188</v>
      </c>
      <c r="C9" s="37" t="s">
        <v>585</v>
      </c>
      <c r="D9" s="39" t="s">
        <v>477</v>
      </c>
      <c r="E9" s="20" t="s">
        <v>586</v>
      </c>
    </row>
    <row r="10" customFormat="false" ht="49.5" hidden="false" customHeight="true" outlineLevel="0" collapsed="false">
      <c r="A10" s="37" t="n">
        <v>6</v>
      </c>
      <c r="B10" s="19" t="s">
        <v>226</v>
      </c>
      <c r="C10" s="37" t="s">
        <v>587</v>
      </c>
      <c r="D10" s="40" t="s">
        <v>482</v>
      </c>
      <c r="E10" s="20" t="s">
        <v>588</v>
      </c>
    </row>
    <row r="11" customFormat="false" ht="49.5" hidden="false" customHeight="true" outlineLevel="0" collapsed="false">
      <c r="A11" s="37" t="n">
        <v>7</v>
      </c>
      <c r="B11" s="19" t="s">
        <v>425</v>
      </c>
      <c r="C11" s="37" t="s">
        <v>589</v>
      </c>
      <c r="D11" s="40" t="s">
        <v>482</v>
      </c>
      <c r="E11" s="20" t="s">
        <v>590</v>
      </c>
    </row>
    <row r="12" customFormat="false" ht="49.5" hidden="false" customHeight="true" outlineLevel="0" collapsed="false">
      <c r="A12" s="37" t="n">
        <v>8</v>
      </c>
      <c r="B12" s="19" t="s">
        <v>198</v>
      </c>
      <c r="C12" s="37" t="s">
        <v>591</v>
      </c>
      <c r="D12" s="40" t="s">
        <v>482</v>
      </c>
      <c r="E12" s="20" t="s">
        <v>592</v>
      </c>
    </row>
    <row r="13" customFormat="false" ht="49.5" hidden="false" customHeight="true" outlineLevel="0" collapsed="false">
      <c r="A13" s="37" t="n">
        <v>9</v>
      </c>
      <c r="B13" s="19" t="s">
        <v>217</v>
      </c>
      <c r="C13" s="37" t="s">
        <v>593</v>
      </c>
      <c r="D13" s="40" t="s">
        <v>482</v>
      </c>
      <c r="E13" s="20" t="s">
        <v>594</v>
      </c>
    </row>
    <row r="14" customFormat="false" ht="49.5" hidden="false" customHeight="true" outlineLevel="0" collapsed="false">
      <c r="A14" s="37" t="n">
        <v>10</v>
      </c>
      <c r="B14" s="19" t="s">
        <v>417</v>
      </c>
      <c r="C14" s="37" t="s">
        <v>595</v>
      </c>
      <c r="D14" s="40" t="s">
        <v>482</v>
      </c>
      <c r="E14" s="20" t="s">
        <v>596</v>
      </c>
    </row>
    <row r="15" customFormat="false" ht="49.5" hidden="false" customHeight="true" outlineLevel="0" collapsed="false">
      <c r="A15" s="37" t="n">
        <v>11</v>
      </c>
      <c r="B15" s="19" t="s">
        <v>236</v>
      </c>
      <c r="C15" s="37" t="s">
        <v>593</v>
      </c>
      <c r="D15" s="41" t="s">
        <v>487</v>
      </c>
      <c r="E15" s="20" t="s">
        <v>597</v>
      </c>
    </row>
    <row r="16" customFormat="false" ht="49.5" hidden="false" customHeight="true" outlineLevel="0" collapsed="false">
      <c r="A16" s="37" t="n">
        <v>12</v>
      </c>
      <c r="B16" s="19" t="s">
        <v>208</v>
      </c>
      <c r="C16" s="37" t="s">
        <v>595</v>
      </c>
      <c r="D16" s="41" t="s">
        <v>598</v>
      </c>
      <c r="E16" s="20" t="s">
        <v>599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4" min="3" style="0" width="18"/>
    <col collapsed="false" customWidth="true" hidden="false" outlineLevel="0" max="5" min="5" style="0" width="60"/>
    <col collapsed="false" customWidth="true" hidden="false" outlineLevel="0" max="6" min="6" style="0" width="14"/>
    <col collapsed="false" customWidth="true" hidden="false" outlineLevel="0" max="7" min="7" style="0" width="38"/>
  </cols>
  <sheetData>
    <row r="1" customFormat="false" ht="19.7" hidden="false" customHeight="false" outlineLevel="0" collapsed="false">
      <c r="A1" s="42" t="s">
        <v>600</v>
      </c>
      <c r="B1" s="42"/>
      <c r="C1" s="42"/>
      <c r="D1" s="42"/>
      <c r="E1" s="42"/>
      <c r="F1" s="42"/>
      <c r="G1" s="42"/>
    </row>
    <row r="2" customFormat="false" ht="15" hidden="false" customHeight="false" outlineLevel="0" collapsed="false">
      <c r="A2" s="36" t="s">
        <v>601</v>
      </c>
      <c r="B2" s="36"/>
      <c r="C2" s="36"/>
      <c r="D2" s="36"/>
      <c r="E2" s="36"/>
      <c r="F2" s="36"/>
      <c r="G2" s="36"/>
    </row>
    <row r="4" customFormat="false" ht="15" hidden="false" customHeight="false" outlineLevel="0" collapsed="false">
      <c r="A4" s="18" t="s">
        <v>573</v>
      </c>
      <c r="B4" s="18" t="s">
        <v>602</v>
      </c>
      <c r="C4" s="18" t="s">
        <v>603</v>
      </c>
      <c r="D4" s="18" t="s">
        <v>604</v>
      </c>
      <c r="E4" s="18" t="s">
        <v>8</v>
      </c>
      <c r="F4" s="18" t="s">
        <v>605</v>
      </c>
      <c r="G4" s="18" t="s">
        <v>606</v>
      </c>
    </row>
    <row r="5" customFormat="false" ht="54.75" hidden="false" customHeight="true" outlineLevel="0" collapsed="false">
      <c r="A5" s="19" t="s">
        <v>87</v>
      </c>
      <c r="B5" s="19" t="s">
        <v>607</v>
      </c>
      <c r="C5" s="19" t="s">
        <v>608</v>
      </c>
      <c r="D5" s="19" t="s">
        <v>609</v>
      </c>
      <c r="E5" s="20" t="s">
        <v>610</v>
      </c>
      <c r="F5" s="43" t="s">
        <v>578</v>
      </c>
      <c r="G5" s="20" t="s">
        <v>611</v>
      </c>
    </row>
    <row r="6" customFormat="false" ht="54.75" hidden="false" customHeight="true" outlineLevel="0" collapsed="false">
      <c r="A6" s="19" t="s">
        <v>99</v>
      </c>
      <c r="B6" s="19" t="s">
        <v>612</v>
      </c>
      <c r="C6" s="19" t="s">
        <v>613</v>
      </c>
      <c r="D6" s="19" t="s">
        <v>614</v>
      </c>
      <c r="E6" s="20" t="s">
        <v>615</v>
      </c>
      <c r="F6" s="44" t="s">
        <v>477</v>
      </c>
      <c r="G6" s="20" t="s">
        <v>107</v>
      </c>
    </row>
    <row r="7" customFormat="false" ht="54.75" hidden="false" customHeight="true" outlineLevel="0" collapsed="false">
      <c r="A7" s="19" t="s">
        <v>161</v>
      </c>
      <c r="B7" s="19" t="s">
        <v>616</v>
      </c>
      <c r="C7" s="19" t="s">
        <v>617</v>
      </c>
      <c r="D7" s="19" t="s">
        <v>618</v>
      </c>
      <c r="E7" s="20" t="s">
        <v>619</v>
      </c>
      <c r="F7" s="30" t="s">
        <v>482</v>
      </c>
      <c r="G7" s="20" t="s">
        <v>620</v>
      </c>
    </row>
    <row r="8" customFormat="false" ht="54.75" hidden="false" customHeight="true" outlineLevel="0" collapsed="false">
      <c r="A8" s="19" t="s">
        <v>170</v>
      </c>
      <c r="B8" s="19" t="s">
        <v>621</v>
      </c>
      <c r="C8" s="19" t="s">
        <v>622</v>
      </c>
      <c r="D8" s="19" t="s">
        <v>623</v>
      </c>
      <c r="E8" s="20" t="s">
        <v>624</v>
      </c>
      <c r="F8" s="43" t="s">
        <v>578</v>
      </c>
      <c r="G8" s="20" t="s">
        <v>625</v>
      </c>
    </row>
    <row r="9" customFormat="false" ht="54.75" hidden="false" customHeight="true" outlineLevel="0" collapsed="false">
      <c r="A9" s="19" t="s">
        <v>178</v>
      </c>
      <c r="B9" s="19" t="s">
        <v>626</v>
      </c>
      <c r="C9" s="19" t="s">
        <v>627</v>
      </c>
      <c r="D9" s="19" t="s">
        <v>628</v>
      </c>
      <c r="E9" s="20" t="s">
        <v>629</v>
      </c>
      <c r="F9" s="44" t="s">
        <v>477</v>
      </c>
      <c r="G9" s="20" t="s">
        <v>630</v>
      </c>
    </row>
    <row r="10" customFormat="false" ht="54.75" hidden="false" customHeight="true" outlineLevel="0" collapsed="false">
      <c r="A10" s="19" t="s">
        <v>187</v>
      </c>
      <c r="B10" s="19" t="s">
        <v>631</v>
      </c>
      <c r="C10" s="19" t="s">
        <v>632</v>
      </c>
      <c r="D10" s="19" t="s">
        <v>633</v>
      </c>
      <c r="E10" s="20" t="s">
        <v>634</v>
      </c>
      <c r="F10" s="44" t="s">
        <v>477</v>
      </c>
      <c r="G10" s="20" t="s">
        <v>635</v>
      </c>
    </row>
    <row r="11" customFormat="false" ht="54.75" hidden="false" customHeight="true" outlineLevel="0" collapsed="false">
      <c r="A11" s="19" t="s">
        <v>197</v>
      </c>
      <c r="B11" s="19" t="s">
        <v>636</v>
      </c>
      <c r="C11" s="19" t="s">
        <v>637</v>
      </c>
      <c r="D11" s="19" t="s">
        <v>638</v>
      </c>
      <c r="E11" s="20" t="s">
        <v>639</v>
      </c>
      <c r="F11" s="30" t="s">
        <v>482</v>
      </c>
      <c r="G11" s="20" t="s">
        <v>640</v>
      </c>
    </row>
    <row r="12" customFormat="false" ht="54.75" hidden="false" customHeight="true" outlineLevel="0" collapsed="false">
      <c r="A12" s="19" t="s">
        <v>207</v>
      </c>
      <c r="B12" s="19" t="s">
        <v>641</v>
      </c>
      <c r="C12" s="19" t="s">
        <v>642</v>
      </c>
      <c r="D12" s="19" t="s">
        <v>643</v>
      </c>
      <c r="E12" s="20" t="s">
        <v>644</v>
      </c>
      <c r="F12" s="30" t="s">
        <v>482</v>
      </c>
      <c r="G12" s="20" t="s">
        <v>215</v>
      </c>
    </row>
    <row r="13" customFormat="false" ht="54.75" hidden="false" customHeight="true" outlineLevel="0" collapsed="false">
      <c r="A13" s="19" t="s">
        <v>309</v>
      </c>
      <c r="B13" s="19" t="s">
        <v>645</v>
      </c>
      <c r="C13" s="19" t="s">
        <v>646</v>
      </c>
      <c r="D13" s="19" t="s">
        <v>614</v>
      </c>
      <c r="E13" s="20" t="s">
        <v>647</v>
      </c>
      <c r="F13" s="44" t="s">
        <v>477</v>
      </c>
      <c r="G13" s="20" t="s">
        <v>648</v>
      </c>
    </row>
    <row r="14" customFormat="false" ht="54.75" hidden="false" customHeight="true" outlineLevel="0" collapsed="false">
      <c r="A14" s="19" t="s">
        <v>309</v>
      </c>
      <c r="B14" s="19" t="s">
        <v>649</v>
      </c>
      <c r="C14" s="19" t="s">
        <v>650</v>
      </c>
      <c r="D14" s="19" t="s">
        <v>651</v>
      </c>
      <c r="E14" s="20" t="s">
        <v>652</v>
      </c>
      <c r="F14" s="44" t="s">
        <v>477</v>
      </c>
      <c r="G14" s="20" t="s">
        <v>653</v>
      </c>
    </row>
    <row r="15" customFormat="false" ht="54.75" hidden="false" customHeight="true" outlineLevel="0" collapsed="false">
      <c r="A15" s="19" t="s">
        <v>320</v>
      </c>
      <c r="B15" s="19" t="s">
        <v>654</v>
      </c>
      <c r="C15" s="19" t="s">
        <v>655</v>
      </c>
      <c r="D15" s="19" t="s">
        <v>656</v>
      </c>
      <c r="E15" s="20" t="s">
        <v>657</v>
      </c>
      <c r="F15" s="30" t="s">
        <v>482</v>
      </c>
      <c r="G15" s="20" t="s">
        <v>658</v>
      </c>
    </row>
    <row r="16" customFormat="false" ht="54.75" hidden="false" customHeight="true" outlineLevel="0" collapsed="false">
      <c r="A16" s="19" t="s">
        <v>328</v>
      </c>
      <c r="B16" s="19" t="s">
        <v>659</v>
      </c>
      <c r="C16" s="19" t="s">
        <v>660</v>
      </c>
      <c r="D16" s="19" t="s">
        <v>661</v>
      </c>
      <c r="E16" s="20" t="s">
        <v>662</v>
      </c>
      <c r="F16" s="44" t="s">
        <v>477</v>
      </c>
      <c r="G16" s="20" t="s">
        <v>330</v>
      </c>
    </row>
    <row r="17" customFormat="false" ht="54.75" hidden="false" customHeight="true" outlineLevel="0" collapsed="false">
      <c r="A17" s="19" t="s">
        <v>118</v>
      </c>
      <c r="B17" s="19" t="s">
        <v>125</v>
      </c>
      <c r="C17" s="19" t="s">
        <v>663</v>
      </c>
      <c r="D17" s="19" t="s">
        <v>664</v>
      </c>
      <c r="E17" s="20" t="s">
        <v>665</v>
      </c>
      <c r="F17" s="43" t="s">
        <v>578</v>
      </c>
      <c r="G17" s="20" t="s">
        <v>125</v>
      </c>
    </row>
    <row r="18" customFormat="false" ht="54.75" hidden="false" customHeight="true" outlineLevel="0" collapsed="false">
      <c r="A18" s="19" t="s">
        <v>135</v>
      </c>
      <c r="B18" s="19" t="s">
        <v>666</v>
      </c>
      <c r="C18" s="19" t="s">
        <v>667</v>
      </c>
      <c r="D18" s="19" t="s">
        <v>668</v>
      </c>
      <c r="E18" s="20" t="s">
        <v>669</v>
      </c>
      <c r="F18" s="44" t="s">
        <v>477</v>
      </c>
      <c r="G18" s="20" t="s">
        <v>666</v>
      </c>
    </row>
    <row r="19" customFormat="false" ht="54.75" hidden="false" customHeight="true" outlineLevel="0" collapsed="false">
      <c r="A19" s="19" t="s">
        <v>381</v>
      </c>
      <c r="B19" s="19" t="s">
        <v>670</v>
      </c>
      <c r="C19" s="19" t="s">
        <v>671</v>
      </c>
      <c r="D19" s="19" t="s">
        <v>633</v>
      </c>
      <c r="E19" s="20" t="s">
        <v>672</v>
      </c>
      <c r="F19" s="44" t="s">
        <v>477</v>
      </c>
      <c r="G19" s="20" t="s">
        <v>673</v>
      </c>
    </row>
    <row r="20" customFormat="false" ht="54.75" hidden="false" customHeight="true" outlineLevel="0" collapsed="false">
      <c r="A20" s="19" t="s">
        <v>289</v>
      </c>
      <c r="B20" s="19" t="s">
        <v>674</v>
      </c>
      <c r="C20" s="19" t="s">
        <v>675</v>
      </c>
      <c r="D20" s="19" t="s">
        <v>676</v>
      </c>
      <c r="E20" s="20" t="s">
        <v>677</v>
      </c>
      <c r="F20" s="43" t="s">
        <v>578</v>
      </c>
      <c r="G20" s="20" t="s">
        <v>678</v>
      </c>
    </row>
    <row r="21" customFormat="false" ht="54.75" hidden="false" customHeight="true" outlineLevel="0" collapsed="false">
      <c r="A21" s="19" t="s">
        <v>391</v>
      </c>
      <c r="B21" s="19" t="s">
        <v>679</v>
      </c>
      <c r="C21" s="19" t="s">
        <v>680</v>
      </c>
      <c r="D21" s="19" t="s">
        <v>609</v>
      </c>
      <c r="E21" s="20" t="s">
        <v>681</v>
      </c>
      <c r="F21" s="30" t="s">
        <v>482</v>
      </c>
      <c r="G21" s="20" t="s">
        <v>682</v>
      </c>
    </row>
    <row r="22" customFormat="false" ht="54.75" hidden="false" customHeight="true" outlineLevel="0" collapsed="false">
      <c r="A22" s="19" t="s">
        <v>263</v>
      </c>
      <c r="B22" s="19" t="s">
        <v>683</v>
      </c>
      <c r="C22" s="19" t="s">
        <v>622</v>
      </c>
      <c r="D22" s="19" t="s">
        <v>684</v>
      </c>
      <c r="E22" s="20" t="s">
        <v>685</v>
      </c>
      <c r="F22" s="44" t="s">
        <v>477</v>
      </c>
      <c r="G22" s="20" t="s">
        <v>686</v>
      </c>
    </row>
    <row r="23" customFormat="false" ht="54.75" hidden="false" customHeight="true" outlineLevel="0" collapsed="false">
      <c r="A23" s="19" t="s">
        <v>253</v>
      </c>
      <c r="B23" s="19" t="s">
        <v>687</v>
      </c>
      <c r="C23" s="19" t="s">
        <v>680</v>
      </c>
      <c r="D23" s="19" t="s">
        <v>688</v>
      </c>
      <c r="E23" s="20" t="s">
        <v>689</v>
      </c>
      <c r="F23" s="30" t="s">
        <v>482</v>
      </c>
      <c r="G23" s="20" t="s">
        <v>690</v>
      </c>
    </row>
    <row r="24" customFormat="false" ht="54.75" hidden="false" customHeight="true" outlineLevel="0" collapsed="false">
      <c r="A24" s="19" t="s">
        <v>216</v>
      </c>
      <c r="B24" s="19" t="s">
        <v>691</v>
      </c>
      <c r="C24" s="19" t="s">
        <v>667</v>
      </c>
      <c r="D24" s="19" t="s">
        <v>692</v>
      </c>
      <c r="E24" s="20" t="s">
        <v>693</v>
      </c>
      <c r="F24" s="30" t="s">
        <v>482</v>
      </c>
      <c r="G24" s="20" t="s">
        <v>694</v>
      </c>
    </row>
    <row r="25" customFormat="false" ht="54.75" hidden="false" customHeight="true" outlineLevel="0" collapsed="false">
      <c r="A25" s="19" t="s">
        <v>225</v>
      </c>
      <c r="B25" s="19" t="s">
        <v>695</v>
      </c>
      <c r="C25" s="19" t="s">
        <v>613</v>
      </c>
      <c r="D25" s="19" t="s">
        <v>696</v>
      </c>
      <c r="E25" s="20" t="s">
        <v>697</v>
      </c>
      <c r="F25" s="30" t="s">
        <v>482</v>
      </c>
      <c r="G25" s="20" t="s">
        <v>698</v>
      </c>
    </row>
    <row r="26" customFormat="false" ht="54.75" hidden="false" customHeight="true" outlineLevel="0" collapsed="false">
      <c r="A26" s="19" t="s">
        <v>272</v>
      </c>
      <c r="B26" s="19" t="s">
        <v>699</v>
      </c>
      <c r="C26" s="19" t="s">
        <v>700</v>
      </c>
      <c r="D26" s="19" t="s">
        <v>701</v>
      </c>
      <c r="E26" s="20" t="s">
        <v>702</v>
      </c>
      <c r="F26" s="30" t="s">
        <v>482</v>
      </c>
      <c r="G26" s="20" t="s">
        <v>703</v>
      </c>
    </row>
    <row r="27" customFormat="false" ht="54.75" hidden="false" customHeight="true" outlineLevel="0" collapsed="false">
      <c r="A27" s="19" t="s">
        <v>243</v>
      </c>
      <c r="B27" s="19" t="s">
        <v>704</v>
      </c>
      <c r="C27" s="19" t="s">
        <v>667</v>
      </c>
      <c r="D27" s="19" t="s">
        <v>705</v>
      </c>
      <c r="E27" s="20" t="s">
        <v>706</v>
      </c>
      <c r="F27" s="45" t="s">
        <v>487</v>
      </c>
      <c r="G27" s="20" t="s">
        <v>707</v>
      </c>
    </row>
    <row r="28" customFormat="false" ht="54.75" hidden="false" customHeight="true" outlineLevel="0" collapsed="false">
      <c r="A28" s="19" t="s">
        <v>406</v>
      </c>
      <c r="B28" s="19" t="s">
        <v>708</v>
      </c>
      <c r="C28" s="19" t="s">
        <v>667</v>
      </c>
      <c r="D28" s="19" t="s">
        <v>609</v>
      </c>
      <c r="E28" s="20" t="s">
        <v>709</v>
      </c>
      <c r="F28" s="44" t="s">
        <v>477</v>
      </c>
      <c r="G28" s="20" t="s">
        <v>710</v>
      </c>
    </row>
    <row r="29" customFormat="false" ht="54.75" hidden="false" customHeight="true" outlineLevel="0" collapsed="false">
      <c r="A29" s="19" t="s">
        <v>711</v>
      </c>
      <c r="B29" s="19" t="s">
        <v>712</v>
      </c>
      <c r="C29" s="19" t="s">
        <v>713</v>
      </c>
      <c r="D29" s="19" t="s">
        <v>714</v>
      </c>
      <c r="E29" s="20" t="s">
        <v>715</v>
      </c>
      <c r="F29" s="44" t="s">
        <v>477</v>
      </c>
      <c r="G29" s="20" t="s">
        <v>716</v>
      </c>
    </row>
  </sheetData>
  <autoFilter ref="A4:G29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75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42" t="s">
        <v>717</v>
      </c>
      <c r="B1" s="42"/>
      <c r="C1" s="42"/>
      <c r="D1" s="42"/>
      <c r="E1" s="42"/>
    </row>
    <row r="2" customFormat="false" ht="15" hidden="false" customHeight="false" outlineLevel="0" collapsed="false">
      <c r="A2" s="36" t="s">
        <v>718</v>
      </c>
      <c r="B2" s="36"/>
      <c r="C2" s="36"/>
      <c r="D2" s="36"/>
      <c r="E2" s="36"/>
    </row>
    <row r="4" customFormat="false" ht="15" hidden="false" customHeight="false" outlineLevel="0" collapsed="false">
      <c r="A4" s="18" t="s">
        <v>719</v>
      </c>
      <c r="B4" s="18" t="s">
        <v>720</v>
      </c>
      <c r="C4" s="18" t="s">
        <v>721</v>
      </c>
      <c r="D4" s="18" t="s">
        <v>722</v>
      </c>
      <c r="E4" s="18" t="s">
        <v>723</v>
      </c>
    </row>
    <row r="5" customFormat="false" ht="31.5" hidden="false" customHeight="true" outlineLevel="0" collapsed="false">
      <c r="A5" s="19" t="s">
        <v>724</v>
      </c>
      <c r="B5" s="20" t="s">
        <v>725</v>
      </c>
      <c r="C5" s="46" t="s">
        <v>726</v>
      </c>
      <c r="D5" s="19" t="s">
        <v>727</v>
      </c>
      <c r="E5" s="19" t="s">
        <v>728</v>
      </c>
    </row>
    <row r="6" customFormat="false" ht="31.5" hidden="false" customHeight="true" outlineLevel="0" collapsed="false">
      <c r="A6" s="19" t="s">
        <v>729</v>
      </c>
      <c r="B6" s="20" t="s">
        <v>730</v>
      </c>
      <c r="C6" s="46" t="s">
        <v>731</v>
      </c>
      <c r="D6" s="19" t="s">
        <v>732</v>
      </c>
      <c r="E6" s="19" t="s">
        <v>733</v>
      </c>
    </row>
    <row r="7" customFormat="false" ht="31.5" hidden="false" customHeight="true" outlineLevel="0" collapsed="false">
      <c r="A7" s="19" t="s">
        <v>729</v>
      </c>
      <c r="B7" s="20" t="s">
        <v>734</v>
      </c>
      <c r="C7" s="46" t="s">
        <v>735</v>
      </c>
      <c r="D7" s="19" t="s">
        <v>736</v>
      </c>
      <c r="E7" s="19" t="s">
        <v>737</v>
      </c>
    </row>
    <row r="8" customFormat="false" ht="31.5" hidden="false" customHeight="true" outlineLevel="0" collapsed="false">
      <c r="A8" s="19" t="s">
        <v>729</v>
      </c>
      <c r="B8" s="20" t="s">
        <v>738</v>
      </c>
      <c r="C8" s="46" t="s">
        <v>739</v>
      </c>
      <c r="D8" s="19" t="s">
        <v>740</v>
      </c>
      <c r="E8" s="19" t="s">
        <v>741</v>
      </c>
    </row>
    <row r="9" customFormat="false" ht="31.5" hidden="false" customHeight="true" outlineLevel="0" collapsed="false">
      <c r="A9" s="19" t="s">
        <v>729</v>
      </c>
      <c r="B9" s="20" t="s">
        <v>742</v>
      </c>
      <c r="C9" s="46" t="s">
        <v>743</v>
      </c>
      <c r="D9" s="19" t="s">
        <v>711</v>
      </c>
      <c r="E9" s="19" t="s">
        <v>744</v>
      </c>
    </row>
    <row r="10" customFormat="false" ht="31.5" hidden="false" customHeight="true" outlineLevel="0" collapsed="false">
      <c r="A10" s="19" t="s">
        <v>745</v>
      </c>
      <c r="B10" s="20" t="s">
        <v>746</v>
      </c>
      <c r="C10" s="46" t="s">
        <v>747</v>
      </c>
      <c r="D10" s="19" t="s">
        <v>748</v>
      </c>
      <c r="E10" s="19" t="s">
        <v>667</v>
      </c>
    </row>
    <row r="11" customFormat="false" ht="31.5" hidden="false" customHeight="true" outlineLevel="0" collapsed="false">
      <c r="A11" s="19" t="s">
        <v>745</v>
      </c>
      <c r="B11" s="20" t="s">
        <v>749</v>
      </c>
      <c r="C11" s="46" t="s">
        <v>750</v>
      </c>
      <c r="D11" s="19" t="s">
        <v>711</v>
      </c>
      <c r="E11" s="19" t="s">
        <v>744</v>
      </c>
    </row>
    <row r="12" customFormat="false" ht="31.5" hidden="false" customHeight="true" outlineLevel="0" collapsed="false">
      <c r="A12" s="19" t="s">
        <v>745</v>
      </c>
      <c r="B12" s="20" t="s">
        <v>751</v>
      </c>
      <c r="C12" s="46" t="s">
        <v>752</v>
      </c>
      <c r="D12" s="19" t="s">
        <v>753</v>
      </c>
      <c r="E12" s="19" t="s">
        <v>754</v>
      </c>
    </row>
    <row r="13" customFormat="false" ht="31.5" hidden="false" customHeight="true" outlineLevel="0" collapsed="false">
      <c r="A13" s="19" t="s">
        <v>745</v>
      </c>
      <c r="B13" s="20" t="s">
        <v>755</v>
      </c>
      <c r="C13" s="46" t="s">
        <v>756</v>
      </c>
      <c r="D13" s="19" t="s">
        <v>757</v>
      </c>
      <c r="E13" s="19" t="s">
        <v>758</v>
      </c>
    </row>
    <row r="14" customFormat="false" ht="31.5" hidden="false" customHeight="true" outlineLevel="0" collapsed="false">
      <c r="A14" s="19" t="s">
        <v>745</v>
      </c>
      <c r="B14" s="20" t="s">
        <v>759</v>
      </c>
      <c r="C14" s="46" t="s">
        <v>760</v>
      </c>
      <c r="D14" s="19" t="s">
        <v>736</v>
      </c>
      <c r="E14" s="19" t="s">
        <v>741</v>
      </c>
    </row>
    <row r="15" customFormat="false" ht="31.5" hidden="false" customHeight="true" outlineLevel="0" collapsed="false">
      <c r="A15" s="19" t="s">
        <v>761</v>
      </c>
      <c r="B15" s="20" t="s">
        <v>762</v>
      </c>
      <c r="C15" s="46" t="s">
        <v>763</v>
      </c>
      <c r="D15" s="19" t="s">
        <v>99</v>
      </c>
      <c r="E15" s="19" t="s">
        <v>764</v>
      </c>
    </row>
    <row r="16" customFormat="false" ht="31.5" hidden="false" customHeight="true" outlineLevel="0" collapsed="false">
      <c r="A16" s="19" t="s">
        <v>765</v>
      </c>
      <c r="B16" s="20" t="s">
        <v>766</v>
      </c>
      <c r="C16" s="46" t="s">
        <v>767</v>
      </c>
      <c r="D16" s="19" t="s">
        <v>161</v>
      </c>
      <c r="E16" s="19" t="s">
        <v>764</v>
      </c>
    </row>
    <row r="17" customFormat="false" ht="31.5" hidden="false" customHeight="true" outlineLevel="0" collapsed="false">
      <c r="A17" s="19" t="s">
        <v>765</v>
      </c>
      <c r="B17" s="20" t="s">
        <v>616</v>
      </c>
      <c r="C17" s="46" t="s">
        <v>768</v>
      </c>
      <c r="D17" s="19" t="s">
        <v>161</v>
      </c>
      <c r="E17" s="19" t="s">
        <v>617</v>
      </c>
    </row>
    <row r="18" customFormat="false" ht="31.5" hidden="false" customHeight="true" outlineLevel="0" collapsed="false">
      <c r="A18" s="19" t="s">
        <v>769</v>
      </c>
      <c r="B18" s="20" t="s">
        <v>770</v>
      </c>
      <c r="C18" s="46" t="s">
        <v>771</v>
      </c>
      <c r="D18" s="19" t="s">
        <v>772</v>
      </c>
      <c r="E18" s="19" t="s">
        <v>667</v>
      </c>
    </row>
    <row r="19" customFormat="false" ht="31.5" hidden="false" customHeight="true" outlineLevel="0" collapsed="false">
      <c r="A19" s="19" t="s">
        <v>769</v>
      </c>
      <c r="B19" s="20" t="s">
        <v>625</v>
      </c>
      <c r="C19" s="20"/>
      <c r="D19" s="19" t="s">
        <v>170</v>
      </c>
      <c r="E19" s="19" t="s">
        <v>622</v>
      </c>
    </row>
    <row r="20" customFormat="false" ht="31.5" hidden="false" customHeight="true" outlineLevel="0" collapsed="false">
      <c r="A20" s="19" t="s">
        <v>773</v>
      </c>
      <c r="B20" s="20" t="s">
        <v>774</v>
      </c>
      <c r="C20" s="46" t="s">
        <v>775</v>
      </c>
      <c r="D20" s="19" t="s">
        <v>178</v>
      </c>
      <c r="E20" s="19" t="s">
        <v>737</v>
      </c>
    </row>
    <row r="21" customFormat="false" ht="31.5" hidden="false" customHeight="true" outlineLevel="0" collapsed="false">
      <c r="A21" s="19" t="s">
        <v>773</v>
      </c>
      <c r="B21" s="20" t="s">
        <v>776</v>
      </c>
      <c r="C21" s="46" t="s">
        <v>777</v>
      </c>
      <c r="D21" s="19" t="s">
        <v>178</v>
      </c>
      <c r="E21" s="19" t="s">
        <v>778</v>
      </c>
    </row>
    <row r="22" customFormat="false" ht="31.5" hidden="false" customHeight="true" outlineLevel="0" collapsed="false">
      <c r="A22" s="19" t="s">
        <v>773</v>
      </c>
      <c r="B22" s="20" t="s">
        <v>779</v>
      </c>
      <c r="C22" s="46" t="s">
        <v>780</v>
      </c>
      <c r="D22" s="19" t="s">
        <v>178</v>
      </c>
      <c r="E22" s="19" t="s">
        <v>781</v>
      </c>
    </row>
    <row r="23" customFormat="false" ht="31.5" hidden="false" customHeight="true" outlineLevel="0" collapsed="false">
      <c r="A23" s="19" t="s">
        <v>782</v>
      </c>
      <c r="B23" s="20" t="s">
        <v>783</v>
      </c>
      <c r="C23" s="46" t="s">
        <v>775</v>
      </c>
      <c r="D23" s="19" t="s">
        <v>187</v>
      </c>
      <c r="E23" s="19" t="s">
        <v>784</v>
      </c>
    </row>
    <row r="24" customFormat="false" ht="31.5" hidden="false" customHeight="true" outlineLevel="0" collapsed="false">
      <c r="A24" s="19" t="s">
        <v>782</v>
      </c>
      <c r="B24" s="20" t="s">
        <v>785</v>
      </c>
      <c r="C24" s="46" t="s">
        <v>786</v>
      </c>
      <c r="D24" s="19" t="s">
        <v>187</v>
      </c>
      <c r="E24" s="19" t="s">
        <v>787</v>
      </c>
    </row>
    <row r="25" customFormat="false" ht="31.5" hidden="false" customHeight="true" outlineLevel="0" collapsed="false">
      <c r="A25" s="19" t="s">
        <v>788</v>
      </c>
      <c r="B25" s="20" t="s">
        <v>789</v>
      </c>
      <c r="C25" s="46" t="s">
        <v>790</v>
      </c>
      <c r="D25" s="19" t="s">
        <v>207</v>
      </c>
      <c r="E25" s="19" t="s">
        <v>667</v>
      </c>
    </row>
    <row r="26" customFormat="false" ht="31.5" hidden="false" customHeight="true" outlineLevel="0" collapsed="false">
      <c r="A26" s="19" t="s">
        <v>788</v>
      </c>
      <c r="B26" s="20" t="s">
        <v>791</v>
      </c>
      <c r="C26" s="46" t="s">
        <v>792</v>
      </c>
      <c r="D26" s="19" t="s">
        <v>207</v>
      </c>
      <c r="E26" s="19" t="s">
        <v>667</v>
      </c>
    </row>
    <row r="27" customFormat="false" ht="31.5" hidden="false" customHeight="true" outlineLevel="0" collapsed="false">
      <c r="A27" s="19" t="s">
        <v>793</v>
      </c>
      <c r="B27" s="20" t="s">
        <v>319</v>
      </c>
      <c r="C27" s="46" t="s">
        <v>794</v>
      </c>
      <c r="D27" s="19" t="s">
        <v>309</v>
      </c>
      <c r="E27" s="19" t="s">
        <v>764</v>
      </c>
    </row>
    <row r="28" customFormat="false" ht="31.5" hidden="false" customHeight="true" outlineLevel="0" collapsed="false">
      <c r="A28" s="19" t="s">
        <v>795</v>
      </c>
      <c r="B28" s="20" t="s">
        <v>796</v>
      </c>
      <c r="C28" s="46" t="s">
        <v>797</v>
      </c>
      <c r="D28" s="19" t="s">
        <v>320</v>
      </c>
      <c r="E28" s="19" t="s">
        <v>667</v>
      </c>
    </row>
    <row r="29" customFormat="false" ht="31.5" hidden="false" customHeight="true" outlineLevel="0" collapsed="false">
      <c r="A29" s="19" t="s">
        <v>798</v>
      </c>
      <c r="B29" s="20" t="s">
        <v>799</v>
      </c>
      <c r="C29" s="46" t="s">
        <v>800</v>
      </c>
      <c r="D29" s="19" t="s">
        <v>118</v>
      </c>
      <c r="E29" s="19" t="s">
        <v>646</v>
      </c>
    </row>
    <row r="30" customFormat="false" ht="31.5" hidden="false" customHeight="true" outlineLevel="0" collapsed="false">
      <c r="A30" s="19" t="s">
        <v>801</v>
      </c>
      <c r="B30" s="20" t="s">
        <v>802</v>
      </c>
      <c r="C30" s="46" t="s">
        <v>803</v>
      </c>
      <c r="D30" s="19" t="s">
        <v>243</v>
      </c>
      <c r="E30" s="19" t="s">
        <v>804</v>
      </c>
    </row>
    <row r="31" customFormat="false" ht="31.5" hidden="false" customHeight="true" outlineLevel="0" collapsed="false">
      <c r="A31" s="19" t="s">
        <v>805</v>
      </c>
      <c r="B31" s="20" t="s">
        <v>806</v>
      </c>
      <c r="C31" s="46" t="s">
        <v>807</v>
      </c>
      <c r="D31" s="19" t="s">
        <v>253</v>
      </c>
      <c r="E31" s="19" t="s">
        <v>680</v>
      </c>
    </row>
    <row r="32" customFormat="false" ht="31.5" hidden="false" customHeight="true" outlineLevel="0" collapsed="false">
      <c r="A32" s="19" t="s">
        <v>808</v>
      </c>
      <c r="B32" s="20" t="s">
        <v>809</v>
      </c>
      <c r="C32" s="46" t="s">
        <v>810</v>
      </c>
      <c r="D32" s="19" t="s">
        <v>263</v>
      </c>
      <c r="E32" s="19" t="s">
        <v>811</v>
      </c>
    </row>
    <row r="33" customFormat="false" ht="31.5" hidden="false" customHeight="true" outlineLevel="0" collapsed="false">
      <c r="A33" s="19" t="s">
        <v>812</v>
      </c>
      <c r="B33" s="20" t="s">
        <v>813</v>
      </c>
      <c r="C33" s="46" t="s">
        <v>814</v>
      </c>
      <c r="D33" s="19" t="s">
        <v>371</v>
      </c>
      <c r="E33" s="19" t="s">
        <v>667</v>
      </c>
    </row>
    <row r="34" customFormat="false" ht="31.5" hidden="false" customHeight="true" outlineLevel="0" collapsed="false">
      <c r="A34" s="19" t="s">
        <v>815</v>
      </c>
      <c r="B34" s="20" t="s">
        <v>816</v>
      </c>
      <c r="C34" s="46" t="s">
        <v>817</v>
      </c>
      <c r="D34" s="19" t="s">
        <v>381</v>
      </c>
      <c r="E34" s="19" t="s">
        <v>744</v>
      </c>
    </row>
    <row r="35" customFormat="false" ht="31.5" hidden="false" customHeight="true" outlineLevel="0" collapsed="false">
      <c r="A35" s="19" t="s">
        <v>815</v>
      </c>
      <c r="B35" s="20" t="s">
        <v>818</v>
      </c>
      <c r="C35" s="46" t="s">
        <v>819</v>
      </c>
      <c r="D35" s="19" t="s">
        <v>381</v>
      </c>
      <c r="E35" s="19" t="s">
        <v>671</v>
      </c>
    </row>
    <row r="36" customFormat="false" ht="31.5" hidden="false" customHeight="true" outlineLevel="0" collapsed="false">
      <c r="A36" s="19" t="s">
        <v>820</v>
      </c>
      <c r="B36" s="20" t="s">
        <v>821</v>
      </c>
      <c r="C36" s="20"/>
      <c r="D36" s="19" t="s">
        <v>289</v>
      </c>
      <c r="E36" s="19" t="s">
        <v>675</v>
      </c>
    </row>
    <row r="37" customFormat="false" ht="31.5" hidden="false" customHeight="true" outlineLevel="0" collapsed="false">
      <c r="A37" s="19" t="s">
        <v>820</v>
      </c>
      <c r="B37" s="20" t="s">
        <v>822</v>
      </c>
      <c r="C37" s="46" t="s">
        <v>823</v>
      </c>
      <c r="D37" s="19" t="s">
        <v>289</v>
      </c>
      <c r="E37" s="19" t="s">
        <v>824</v>
      </c>
    </row>
    <row r="38" customFormat="false" ht="31.5" hidden="false" customHeight="true" outlineLevel="0" collapsed="false">
      <c r="A38" s="19" t="s">
        <v>825</v>
      </c>
      <c r="B38" s="20" t="s">
        <v>826</v>
      </c>
      <c r="C38" s="46" t="s">
        <v>827</v>
      </c>
      <c r="D38" s="19" t="s">
        <v>225</v>
      </c>
      <c r="E38" s="19" t="s">
        <v>667</v>
      </c>
    </row>
    <row r="39" customFormat="false" ht="31.5" hidden="false" customHeight="true" outlineLevel="0" collapsed="false">
      <c r="A39" s="19" t="s">
        <v>828</v>
      </c>
      <c r="B39" s="20" t="s">
        <v>829</v>
      </c>
      <c r="C39" s="46" t="s">
        <v>830</v>
      </c>
      <c r="D39" s="19" t="s">
        <v>108</v>
      </c>
      <c r="E39" s="19" t="s">
        <v>831</v>
      </c>
    </row>
    <row r="40" customFormat="false" ht="31.5" hidden="false" customHeight="true" outlineLevel="0" collapsed="false">
      <c r="A40" s="19" t="s">
        <v>832</v>
      </c>
      <c r="B40" s="20" t="s">
        <v>833</v>
      </c>
      <c r="C40" s="46" t="s">
        <v>834</v>
      </c>
      <c r="D40" s="19" t="s">
        <v>135</v>
      </c>
      <c r="E40" s="19" t="s">
        <v>787</v>
      </c>
    </row>
    <row r="41" customFormat="false" ht="31.5" hidden="false" customHeight="true" outlineLevel="0" collapsed="false">
      <c r="A41" s="19" t="s">
        <v>835</v>
      </c>
      <c r="B41" s="20" t="s">
        <v>836</v>
      </c>
      <c r="C41" s="46" t="s">
        <v>837</v>
      </c>
      <c r="D41" s="19" t="s">
        <v>406</v>
      </c>
      <c r="E41" s="19" t="s">
        <v>831</v>
      </c>
    </row>
  </sheetData>
  <autoFilter ref="A4:E41"/>
  <mergeCells count="2">
    <mergeCell ref="A1:E1"/>
    <mergeCell ref="A2:E2"/>
  </mergeCells>
  <hyperlinks>
    <hyperlink ref="C5" r:id="rId1" display="https://www.federalregister.gov/"/>
    <hyperlink ref="C6" r:id="rId2" display="https://www.pharmaceutical-technology.com/analyst-comment/international-reference-pricing-irp-2024/"/>
    <hyperlink ref="C7" r:id="rId3" display="https://www.oecd.org/health/"/>
    <hyperlink ref="C8" r:id="rId4" display="https://www.lse.ac.uk/business/consulting/"/>
    <hyperlink ref="C9" r:id="rId5" display="https://www.euripid.eu/"/>
    <hyperlink ref="C10" r:id="rId6" display="https://inbeeo.com/2024/04/02/net-price-dynamics-in-eu4-and-us/"/>
    <hyperlink ref="C11" r:id="rId7" display="https://www.farseer.com/blog/eu-pharma-tax-regulations/"/>
    <hyperlink ref="C12" r:id="rId8" display="https://pubmed.ncbi.nlm.nih.gov/34253396/"/>
    <hyperlink ref="C13" r:id="rId9" display="https://www.ncbi.nlm.nih.gov/pmc/articles/PMC3471187/"/>
    <hyperlink ref="C14" r:id="rId10" display="https://www.sciencedirect.com/"/>
    <hyperlink ref="C15" r:id="rId11" display="https://www.canada.ca/en/patented-medicine-prices-review.html"/>
    <hyperlink ref="C16" r:id="rId12" display="https://www.simon-kucher.com/"/>
    <hyperlink ref="C17" r:id="rId13" display="https://www.legifrance.gouv.fr/"/>
    <hyperlink ref="C18" r:id="rId14" display="https://jstindt.com/2024-new-eu5-pricing-strategies/"/>
    <hyperlink ref="C20" r:id="rId15" display="https://www.globallegalinsights.com/"/>
    <hyperlink ref="C21" r:id="rId16" display="https://www.certara.com/blog/aifa-makeover-italys-leap-into-2024/"/>
    <hyperlink ref="C22" r:id="rId17" display="https://trinitylifesciences.com/"/>
    <hyperlink ref="C23" r:id="rId18" display="https://www.globallegalinsights.com/"/>
    <hyperlink ref="C24" r:id="rId19" display="https://remapconsulting.com/"/>
    <hyperlink ref="C25" r:id="rId20" display="https://www.bag.admin.ch/"/>
    <hyperlink ref="C26" r:id="rId21" display="https://www.pwc.ch/"/>
    <hyperlink ref="C27" r:id="rId22" display="https://www.mhlw.go.jp/english/"/>
    <hyperlink ref="C28" r:id="rId23" display="https://www.hira.or.kr/eng/"/>
    <hyperlink ref="C29" r:id="rId24" display="https://www.gov.br/anvisa/pt-br/assuntos/medicamentos/cmed"/>
    <hyperlink ref="C30" r:id="rId25" display="https://www.dmp.no/en/public-funding-and-pricing/pricing-of-medicines/maximum-price"/>
    <hyperlink ref="C31" r:id="rId26" display="https://www.lif.dk/"/>
    <hyperlink ref="C32" r:id="rId27" display="https://www.ipha.ie/"/>
    <hyperlink ref="C33" r:id="rId28" display="https://www.pharma-israel.org.il/"/>
    <hyperlink ref="C34" r:id="rId29" display="https://pharmaknowl.com/sfda-drug-pricing-regulation-guideline/"/>
    <hyperlink ref="C35" r:id="rId30" display="https://www.eversana.com/"/>
    <hyperlink ref="C37" r:id="rId31" display="https://gratanet.com/publications/pharmaceuticals-pricing-in-turkiye"/>
    <hyperlink ref="C38" r:id="rId32" display="https://kce.fgov.be/"/>
    <hyperlink ref="C39" r:id="rId33" display="https://pharmaboardroom.com/"/>
    <hyperlink ref="C40" r:id="rId34" display="https://olartemoure.com/en/control-of-medicine-prices/"/>
    <hyperlink ref="C41" r:id="rId35" display="https://www.sahpra.org.za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42" t="s">
        <v>838</v>
      </c>
      <c r="B1" s="42"/>
      <c r="C1" s="42"/>
      <c r="D1" s="42"/>
      <c r="E1" s="42"/>
      <c r="F1" s="42"/>
    </row>
    <row r="2" customFormat="false" ht="15" hidden="false" customHeight="false" outlineLevel="0" collapsed="false">
      <c r="A2" s="36" t="s">
        <v>839</v>
      </c>
      <c r="B2" s="36"/>
      <c r="C2" s="36"/>
      <c r="D2" s="36"/>
      <c r="E2" s="36"/>
      <c r="F2" s="36"/>
    </row>
    <row r="4" customFormat="false" ht="15" hidden="false" customHeight="false" outlineLevel="0" collapsed="false">
      <c r="A4" s="18" t="s">
        <v>723</v>
      </c>
      <c r="B4" s="18" t="s">
        <v>840</v>
      </c>
      <c r="C4" s="18" t="s">
        <v>841</v>
      </c>
      <c r="D4" s="18" t="s">
        <v>842</v>
      </c>
      <c r="E4" s="18" t="s">
        <v>843</v>
      </c>
      <c r="F4" s="18" t="s">
        <v>844</v>
      </c>
    </row>
    <row r="5" customFormat="false" ht="34.5" hidden="false" customHeight="true" outlineLevel="0" collapsed="false">
      <c r="A5" s="19" t="s">
        <v>845</v>
      </c>
      <c r="B5" s="19" t="s">
        <v>846</v>
      </c>
      <c r="C5" s="19" t="s">
        <v>847</v>
      </c>
      <c r="D5" s="19" t="s">
        <v>848</v>
      </c>
      <c r="E5" s="20" t="s">
        <v>849</v>
      </c>
      <c r="F5" s="20" t="s">
        <v>850</v>
      </c>
    </row>
    <row r="6" customFormat="false" ht="34.5" hidden="false" customHeight="true" outlineLevel="0" collapsed="false">
      <c r="A6" s="19" t="s">
        <v>845</v>
      </c>
      <c r="B6" s="19" t="s">
        <v>846</v>
      </c>
      <c r="C6" s="19" t="s">
        <v>851</v>
      </c>
      <c r="D6" s="19" t="s">
        <v>852</v>
      </c>
      <c r="E6" s="20" t="s">
        <v>853</v>
      </c>
      <c r="F6" s="20" t="s">
        <v>854</v>
      </c>
    </row>
    <row r="7" customFormat="false" ht="15" hidden="false" customHeight="false" outlineLevel="0" collapsed="false">
      <c r="A7" s="29"/>
      <c r="B7" s="29"/>
      <c r="C7" s="29"/>
      <c r="D7" s="29"/>
      <c r="E7" s="29"/>
      <c r="F7" s="29"/>
    </row>
    <row r="8" customFormat="false" ht="15" hidden="false" customHeight="false" outlineLevel="0" collapsed="false">
      <c r="A8" s="29"/>
      <c r="B8" s="29"/>
      <c r="C8" s="29"/>
      <c r="D8" s="29"/>
      <c r="E8" s="29"/>
      <c r="F8" s="29"/>
    </row>
    <row r="9" customFormat="false" ht="15" hidden="false" customHeight="false" outlineLevel="0" collapsed="false">
      <c r="A9" s="29"/>
      <c r="B9" s="29"/>
      <c r="C9" s="29"/>
      <c r="D9" s="29"/>
      <c r="E9" s="29"/>
      <c r="F9" s="29"/>
    </row>
    <row r="10" customFormat="false" ht="15" hidden="false" customHeight="false" outlineLevel="0" collapsed="false">
      <c r="A10" s="29"/>
      <c r="B10" s="29"/>
      <c r="C10" s="29"/>
      <c r="D10" s="29"/>
      <c r="E10" s="29"/>
      <c r="F10" s="29"/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29"/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9"/>
    </row>
    <row r="14" customFormat="false" ht="15" hidden="false" customHeight="false" outlineLevel="0" collapsed="false">
      <c r="A14" s="29"/>
      <c r="B14" s="29"/>
      <c r="C14" s="29"/>
      <c r="D14" s="29"/>
      <c r="E14" s="29"/>
      <c r="F14" s="29"/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29"/>
    </row>
    <row r="16" customFormat="false" ht="15" hidden="false" customHeight="false" outlineLevel="0" collapsed="false">
      <c r="A16" s="29"/>
      <c r="B16" s="29"/>
      <c r="C16" s="29"/>
      <c r="D16" s="29"/>
      <c r="E16" s="29"/>
      <c r="F16" s="29"/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29"/>
    </row>
    <row r="18" customFormat="false" ht="15" hidden="false" customHeight="false" outlineLevel="0" collapsed="false">
      <c r="A18" s="29"/>
      <c r="B18" s="29"/>
      <c r="C18" s="29"/>
      <c r="D18" s="29"/>
      <c r="E18" s="29"/>
      <c r="F18" s="29"/>
    </row>
    <row r="19" customFormat="false" ht="15" hidden="false" customHeight="false" outlineLevel="0" collapsed="false">
      <c r="A19" s="29"/>
      <c r="B19" s="29"/>
      <c r="C19" s="29"/>
      <c r="D19" s="29"/>
      <c r="E19" s="29"/>
      <c r="F19" s="29"/>
    </row>
    <row r="20" customFormat="false" ht="15" hidden="false" customHeight="false" outlineLevel="0" collapsed="false">
      <c r="A20" s="29"/>
      <c r="B20" s="29"/>
      <c r="C20" s="29"/>
      <c r="D20" s="29"/>
      <c r="E20" s="29"/>
      <c r="F20" s="29"/>
    </row>
    <row r="21" customFormat="false" ht="15" hidden="false" customHeight="false" outlineLevel="0" collapsed="false">
      <c r="A21" s="29"/>
      <c r="B21" s="29"/>
      <c r="C21" s="29"/>
      <c r="D21" s="29"/>
      <c r="E21" s="29"/>
      <c r="F21" s="29"/>
    </row>
    <row r="22" customFormat="false" ht="15" hidden="false" customHeight="false" outlineLevel="0" collapsed="false">
      <c r="A22" s="29"/>
      <c r="B22" s="29"/>
      <c r="C22" s="29"/>
      <c r="D22" s="29"/>
      <c r="E22" s="29"/>
      <c r="F22" s="29"/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29"/>
    </row>
    <row r="24" customFormat="false" ht="15" hidden="false" customHeight="false" outlineLevel="0" collapsed="false">
      <c r="A24" s="29"/>
      <c r="B24" s="29"/>
      <c r="C24" s="29"/>
      <c r="D24" s="29"/>
      <c r="E24" s="29"/>
      <c r="F24" s="29"/>
    </row>
    <row r="25" customFormat="false" ht="15" hidden="false" customHeight="false" outlineLevel="0" collapsed="false">
      <c r="A25" s="29"/>
      <c r="B25" s="29"/>
      <c r="C25" s="29"/>
      <c r="D25" s="29"/>
      <c r="E25" s="29"/>
      <c r="F25" s="29"/>
    </row>
    <row r="26" customFormat="false" ht="15" hidden="false" customHeight="false" outlineLevel="0" collapsed="false">
      <c r="A26" s="29"/>
      <c r="B26" s="29"/>
      <c r="C26" s="29"/>
      <c r="D26" s="29"/>
      <c r="E26" s="29"/>
      <c r="F26" s="29"/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29"/>
    </row>
    <row r="28" customFormat="false" ht="15" hidden="false" customHeight="false" outlineLevel="0" collapsed="false">
      <c r="A28" s="29"/>
      <c r="B28" s="29"/>
      <c r="C28" s="29"/>
      <c r="D28" s="29"/>
      <c r="E28" s="29"/>
      <c r="F28" s="29"/>
    </row>
    <row r="29" customFormat="false" ht="15" hidden="false" customHeight="false" outlineLevel="0" collapsed="false">
      <c r="A29" s="29"/>
      <c r="B29" s="29"/>
      <c r="C29" s="29"/>
      <c r="D29" s="29"/>
      <c r="E29" s="29"/>
      <c r="F29" s="29"/>
    </row>
    <row r="30" customFormat="false" ht="15" hidden="false" customHeight="false" outlineLevel="0" collapsed="false">
      <c r="A30" s="29"/>
      <c r="B30" s="29"/>
      <c r="C30" s="29"/>
      <c r="D30" s="29"/>
      <c r="E30" s="29"/>
      <c r="F30" s="29"/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29"/>
    </row>
    <row r="32" customFormat="false" ht="15" hidden="false" customHeight="false" outlineLevel="0" collapsed="false">
      <c r="A32" s="29"/>
      <c r="B32" s="29"/>
      <c r="C32" s="29"/>
      <c r="D32" s="29"/>
      <c r="E32" s="29"/>
      <c r="F32" s="29"/>
    </row>
    <row r="33" customFormat="false" ht="15" hidden="false" customHeight="false" outlineLevel="0" collapsed="false">
      <c r="A33" s="29"/>
      <c r="B33" s="29"/>
      <c r="C33" s="29"/>
      <c r="D33" s="29"/>
      <c r="E33" s="29"/>
      <c r="F33" s="29"/>
    </row>
    <row r="34" customFormat="false" ht="15" hidden="false" customHeight="false" outlineLevel="0" collapsed="false">
      <c r="A34" s="29"/>
      <c r="B34" s="29"/>
      <c r="C34" s="29"/>
      <c r="D34" s="29"/>
      <c r="E34" s="29"/>
      <c r="F34" s="29"/>
    </row>
    <row r="35" customFormat="false" ht="15" hidden="false" customHeight="false" outlineLevel="0" collapsed="false">
      <c r="A35" s="29"/>
      <c r="B35" s="29"/>
      <c r="C35" s="29"/>
      <c r="D35" s="29"/>
      <c r="E35" s="29"/>
      <c r="F35" s="29"/>
    </row>
    <row r="36" customFormat="false" ht="15" hidden="false" customHeight="false" outlineLevel="0" collapsed="false">
      <c r="A36" s="29"/>
      <c r="B36" s="29"/>
      <c r="C36" s="29"/>
      <c r="D36" s="29"/>
      <c r="E36" s="29"/>
      <c r="F36" s="29"/>
    </row>
    <row r="37" customFormat="false" ht="15" hidden="false" customHeight="false" outlineLevel="0" collapsed="false">
      <c r="A37" s="29"/>
      <c r="B37" s="29"/>
      <c r="C37" s="29"/>
      <c r="D37" s="29"/>
      <c r="E37" s="29"/>
      <c r="F37" s="29"/>
    </row>
    <row r="38" customFormat="false" ht="15" hidden="false" customHeight="false" outlineLevel="0" collapsed="false">
      <c r="A38" s="29"/>
      <c r="B38" s="29"/>
      <c r="C38" s="29"/>
      <c r="D38" s="29"/>
      <c r="E38" s="29"/>
      <c r="F38" s="29"/>
    </row>
    <row r="39" customFormat="false" ht="15" hidden="false" customHeight="false" outlineLevel="0" collapsed="false">
      <c r="A39" s="29"/>
      <c r="B39" s="29"/>
      <c r="C39" s="29"/>
      <c r="D39" s="29"/>
      <c r="E39" s="29"/>
      <c r="F39" s="29"/>
    </row>
    <row r="40" customFormat="false" ht="15" hidden="false" customHeight="false" outlineLevel="0" collapsed="false">
      <c r="A40" s="29"/>
      <c r="B40" s="29"/>
      <c r="C40" s="29"/>
      <c r="D40" s="29"/>
      <c r="E40" s="29"/>
      <c r="F40" s="29"/>
    </row>
    <row r="41" customFormat="false" ht="15" hidden="false" customHeight="false" outlineLevel="0" collapsed="false">
      <c r="A41" s="29"/>
      <c r="B41" s="29"/>
      <c r="C41" s="29"/>
      <c r="D41" s="29"/>
      <c r="E41" s="29"/>
      <c r="F41" s="29"/>
    </row>
    <row r="42" customFormat="false" ht="15" hidden="false" customHeight="false" outlineLevel="0" collapsed="false">
      <c r="A42" s="29"/>
      <c r="B42" s="29"/>
      <c r="C42" s="29"/>
      <c r="D42" s="29"/>
      <c r="E42" s="29"/>
      <c r="F42" s="29"/>
    </row>
    <row r="43" customFormat="false" ht="15" hidden="false" customHeight="false" outlineLevel="0" collapsed="false">
      <c r="A43" s="29"/>
      <c r="B43" s="29"/>
      <c r="C43" s="29"/>
      <c r="D43" s="29"/>
      <c r="E43" s="29"/>
      <c r="F43" s="29"/>
    </row>
    <row r="44" customFormat="false" ht="15" hidden="false" customHeight="false" outlineLevel="0" collapsed="false">
      <c r="A44" s="29"/>
      <c r="B44" s="29"/>
      <c r="C44" s="29"/>
      <c r="D44" s="29"/>
      <c r="E44" s="29"/>
      <c r="F44" s="29"/>
    </row>
    <row r="45" customFormat="false" ht="15" hidden="false" customHeight="false" outlineLevel="0" collapsed="false">
      <c r="A45" s="29"/>
      <c r="B45" s="29"/>
      <c r="C45" s="29"/>
      <c r="D45" s="29"/>
      <c r="E45" s="29"/>
      <c r="F45" s="29"/>
    </row>
    <row r="46" customFormat="false" ht="15" hidden="false" customHeight="false" outlineLevel="0" collapsed="false">
      <c r="A46" s="29"/>
      <c r="B46" s="29"/>
      <c r="C46" s="29"/>
      <c r="D46" s="29"/>
      <c r="E46" s="29"/>
      <c r="F46" s="29"/>
    </row>
    <row r="47" customFormat="false" ht="15" hidden="false" customHeight="false" outlineLevel="0" collapsed="false">
      <c r="A47" s="29"/>
      <c r="B47" s="29"/>
      <c r="C47" s="29"/>
      <c r="D47" s="29"/>
      <c r="E47" s="29"/>
      <c r="F47" s="29"/>
    </row>
    <row r="48" customFormat="false" ht="15" hidden="false" customHeight="false" outlineLevel="0" collapsed="false">
      <c r="A48" s="29"/>
      <c r="B48" s="29"/>
      <c r="C48" s="29"/>
      <c r="D48" s="29"/>
      <c r="E48" s="29"/>
      <c r="F48" s="29"/>
    </row>
    <row r="49" customFormat="false" ht="15" hidden="false" customHeight="false" outlineLevel="0" collapsed="false">
      <c r="A49" s="29"/>
      <c r="B49" s="29"/>
      <c r="C49" s="29"/>
      <c r="D49" s="29"/>
      <c r="E49" s="29"/>
      <c r="F49" s="2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2026-05-04T05:27:52Z</dcterms:created>
  <dc:creator>openpyxl</dc:creator>
  <dc:description/>
  <dc:language>en-US</dc:language>
  <cp:lastModifiedBy/>
  <dcterms:modified xsi:type="dcterms:W3CDTF">2026-05-04T05:27:52Z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